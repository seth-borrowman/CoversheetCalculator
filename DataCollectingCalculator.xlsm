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3363439D-150D-4FA2-92F6-5370C89B5958}" xr6:coauthVersionLast="36" xr6:coauthVersionMax="36" xr10:uidLastSave="{00000000-0000-0000-0000-000000000000}"/>
  <bookViews>
    <workbookView xWindow="0" yWindow="0" windowWidth="21600" windowHeight="9225" xr2:uid="{2C9A03A1-7EDF-4814-8CE0-B2587931B15A}"/>
  </bookViews>
  <sheets>
    <sheet name="Sheet1" sheetId="1" r:id="rId1"/>
    <sheet name="Dropdown" sheetId="2" r:id="rId2"/>
    <sheet name="Times" sheetId="3" r:id="rId3"/>
    <sheet name="Data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3" l="1"/>
  <c r="E8" i="3"/>
  <c r="B6" i="3"/>
  <c r="H6" i="3" s="1"/>
  <c r="H5" i="3"/>
  <c r="E5" i="3"/>
  <c r="E3" i="3"/>
  <c r="H3" i="3" s="1"/>
  <c r="E6" i="3" l="1"/>
</calcChain>
</file>

<file path=xl/sharedStrings.xml><?xml version="1.0" encoding="utf-8"?>
<sst xmlns="http://schemas.openxmlformats.org/spreadsheetml/2006/main" count="188" uniqueCount="144">
  <si>
    <t>Formulation File</t>
  </si>
  <si>
    <t>CPF Master Formulation Template</t>
  </si>
  <si>
    <t>PNF-200</t>
  </si>
  <si>
    <t>10X Genomics Formulation Template</t>
  </si>
  <si>
    <t>PNF-10X-162</t>
  </si>
  <si>
    <t>Canon Processing</t>
  </si>
  <si>
    <t>PNF-164</t>
  </si>
  <si>
    <t>Akoya Formulation Template</t>
  </si>
  <si>
    <t>PNF-165</t>
  </si>
  <si>
    <t>NuProbe Kits Formulation Template</t>
  </si>
  <si>
    <t>PNF-173</t>
  </si>
  <si>
    <t>Common Strand Duplex Template</t>
  </si>
  <si>
    <t>PNF-174</t>
  </si>
  <si>
    <t>Invivoscribe Verify ESI with Mixed Bases</t>
  </si>
  <si>
    <t>PNF-175</t>
  </si>
  <si>
    <t>DxTerity Direct Prime Mix Template</t>
  </si>
  <si>
    <t>PNF-179</t>
  </si>
  <si>
    <t>Thermo DNase Alert Template</t>
  </si>
  <si>
    <t>PNF-183</t>
  </si>
  <si>
    <t>Pac Bio BECC Formulation Template</t>
  </si>
  <si>
    <t>PNF-185</t>
  </si>
  <si>
    <t>Agilent BECC Template (mg reporting)</t>
  </si>
  <si>
    <t>PNF-190</t>
  </si>
  <si>
    <t>Qiagen PolyA Template</t>
  </si>
  <si>
    <t>PNF-499</t>
  </si>
  <si>
    <t>KRAS Long Oligo Formulation Template</t>
  </si>
  <si>
    <t>PNF-500</t>
  </si>
  <si>
    <t>BRAF Long Oligo Formulation Template</t>
  </si>
  <si>
    <t>PNF-501</t>
  </si>
  <si>
    <t>EGFR Long Oligo Formulation Template</t>
  </si>
  <si>
    <t>PNF-502</t>
  </si>
  <si>
    <t>EGFR 4 Positive Control Long Oligo Formulation Template</t>
  </si>
  <si>
    <t>PNF-503</t>
  </si>
  <si>
    <t>T315I Formulation Template</t>
  </si>
  <si>
    <t>PNF-505</t>
  </si>
  <si>
    <t>Agilent Oligonucleotide Ladder and Resolution Mixes</t>
  </si>
  <si>
    <t>PNF-AGI-135</t>
  </si>
  <si>
    <t>Bio-Rad Pluto Formulation</t>
  </si>
  <si>
    <t>PNF-BIORAD-001</t>
  </si>
  <si>
    <t>Bio-Rad Calibrant ICycler Process Flow</t>
  </si>
  <si>
    <t>PNF-BIORAD-002</t>
  </si>
  <si>
    <t>Bio-Rad PCR Control Template Dilution</t>
  </si>
  <si>
    <t>PNF-BIORAD-108</t>
  </si>
  <si>
    <t>Bio-Rad RT Template Dilution</t>
  </si>
  <si>
    <t>PNF-BIORAD-110</t>
  </si>
  <si>
    <t>Bio-Rad Calibrant Template</t>
  </si>
  <si>
    <t>PNF-BIORAD-163</t>
  </si>
  <si>
    <t>Single Shot Formulation Template</t>
  </si>
  <si>
    <t>PNF-BIORAD-181</t>
  </si>
  <si>
    <t>Natera Adapter Mix Template</t>
  </si>
  <si>
    <t>PNF-NAT-123</t>
  </si>
  <si>
    <t>Natera Lib-Amp Mix Template</t>
  </si>
  <si>
    <t>PNF-NAT-124</t>
  </si>
  <si>
    <t>Natera Generic Adapter Template</t>
  </si>
  <si>
    <t>PNF-NAT-148</t>
  </si>
  <si>
    <t>Stemcell Master Mix Aliquot Flow</t>
  </si>
  <si>
    <t>PNF-STEM-135</t>
  </si>
  <si>
    <t>Formulation Type</t>
  </si>
  <si>
    <t>Single</t>
  </si>
  <si>
    <t>Mix</t>
  </si>
  <si>
    <t>Duplex</t>
  </si>
  <si>
    <t>{Select}</t>
  </si>
  <si>
    <t>Shipping Conditions</t>
  </si>
  <si>
    <t>Dry</t>
  </si>
  <si>
    <t>Ambient</t>
  </si>
  <si>
    <t>Wet</t>
  </si>
  <si>
    <t>Dry Ice</t>
  </si>
  <si>
    <t>Hand OD</t>
  </si>
  <si>
    <t>No</t>
  </si>
  <si>
    <t>Yes</t>
  </si>
  <si>
    <t>Yes - Cary</t>
  </si>
  <si>
    <t>BECC</t>
  </si>
  <si>
    <t>Labels</t>
  </si>
  <si>
    <t>Standard</t>
  </si>
  <si>
    <t>Custom</t>
  </si>
  <si>
    <t>Spec Sheets</t>
  </si>
  <si>
    <t>None</t>
  </si>
  <si>
    <t>CCM/Qiagen/Bio-Rad</t>
  </si>
  <si>
    <t>CCM</t>
  </si>
  <si>
    <t>Qiagen</t>
  </si>
  <si>
    <t>Bio-Rad</t>
  </si>
  <si>
    <t>QC Traces</t>
  </si>
  <si>
    <t>ESI</t>
  </si>
  <si>
    <t>CE</t>
  </si>
  <si>
    <t>RP-HPLC</t>
  </si>
  <si>
    <t>RNase/DNase</t>
  </si>
  <si>
    <t>Multiple or Other</t>
  </si>
  <si>
    <t>Multiple incl. RNase/DNase</t>
  </si>
  <si>
    <t>Special Packaging</t>
  </si>
  <si>
    <t>&gt;100 Aliquots</t>
  </si>
  <si>
    <t>Bullet Box</t>
  </si>
  <si>
    <t>Individually Bagged</t>
  </si>
  <si>
    <t>Individually Bagged w/ SAP Label</t>
  </si>
  <si>
    <t>Foil Bags</t>
  </si>
  <si>
    <t>Ship Partial</t>
  </si>
  <si>
    <t>Adapter Review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</si>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</sst>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47625</xdr:rowOff>
        </xdr:from>
        <xdr:to>
          <xdr:col>3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2C449CE-5C70-472B-B74E-3E137FC88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tabSelected="1" workbookViewId="0">
      <selection activeCell="E9" sqref="E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47625</xdr:rowOff>
                  </from>
                  <to>
                    <xdr:col>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5C72-4378-4C43-BACD-A51DF90A0190}">
  <sheetPr codeName="Sheet2"/>
  <dimension ref="A1:C75"/>
  <sheetViews>
    <sheetView topLeftCell="A22" workbookViewId="0">
      <selection activeCell="C17" sqref="C17"/>
    </sheetView>
  </sheetViews>
  <sheetFormatPr defaultRowHeight="15" x14ac:dyDescent="0.25"/>
  <cols>
    <col min="1" max="1" width="20.140625" bestFit="1" customWidth="1"/>
    <col min="2" max="2" width="52.7109375" bestFit="1" customWidth="1"/>
    <col min="3" max="3" width="16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B2" t="s">
        <v>3</v>
      </c>
      <c r="C2" t="s">
        <v>4</v>
      </c>
    </row>
    <row r="3" spans="1:3" x14ac:dyDescent="0.25">
      <c r="B3" t="s">
        <v>5</v>
      </c>
      <c r="C3" t="s">
        <v>6</v>
      </c>
    </row>
    <row r="4" spans="1:3" x14ac:dyDescent="0.25">
      <c r="B4" t="s">
        <v>7</v>
      </c>
      <c r="C4" t="s">
        <v>8</v>
      </c>
    </row>
    <row r="5" spans="1:3" x14ac:dyDescent="0.25">
      <c r="B5" t="s">
        <v>9</v>
      </c>
      <c r="C5" t="s">
        <v>10</v>
      </c>
    </row>
    <row r="6" spans="1:3" x14ac:dyDescent="0.25">
      <c r="B6" t="s">
        <v>11</v>
      </c>
      <c r="C6" t="s">
        <v>12</v>
      </c>
    </row>
    <row r="7" spans="1:3" x14ac:dyDescent="0.25">
      <c r="B7" t="s">
        <v>13</v>
      </c>
      <c r="C7" t="s">
        <v>14</v>
      </c>
    </row>
    <row r="8" spans="1:3" x14ac:dyDescent="0.25">
      <c r="B8" t="s">
        <v>15</v>
      </c>
      <c r="C8" t="s">
        <v>16</v>
      </c>
    </row>
    <row r="9" spans="1:3" x14ac:dyDescent="0.25">
      <c r="B9" t="s">
        <v>17</v>
      </c>
      <c r="C9" t="s">
        <v>18</v>
      </c>
    </row>
    <row r="10" spans="1:3" x14ac:dyDescent="0.25">
      <c r="B10" t="s">
        <v>19</v>
      </c>
      <c r="C10" t="s">
        <v>20</v>
      </c>
    </row>
    <row r="11" spans="1:3" x14ac:dyDescent="0.25">
      <c r="B11" t="s">
        <v>21</v>
      </c>
      <c r="C11" t="s">
        <v>22</v>
      </c>
    </row>
    <row r="12" spans="1:3" x14ac:dyDescent="0.25">
      <c r="B12" t="s">
        <v>23</v>
      </c>
      <c r="C12" t="s">
        <v>24</v>
      </c>
    </row>
    <row r="13" spans="1:3" x14ac:dyDescent="0.25">
      <c r="B13" t="s">
        <v>25</v>
      </c>
      <c r="C13" t="s">
        <v>26</v>
      </c>
    </row>
    <row r="14" spans="1:3" x14ac:dyDescent="0.25">
      <c r="B14" t="s">
        <v>27</v>
      </c>
      <c r="C14" t="s">
        <v>28</v>
      </c>
    </row>
    <row r="15" spans="1:3" x14ac:dyDescent="0.25">
      <c r="B15" t="s">
        <v>29</v>
      </c>
      <c r="C15" t="s">
        <v>30</v>
      </c>
    </row>
    <row r="16" spans="1:3" x14ac:dyDescent="0.25">
      <c r="B16" t="s">
        <v>31</v>
      </c>
      <c r="C16" t="s">
        <v>32</v>
      </c>
    </row>
    <row r="17" spans="1:3" x14ac:dyDescent="0.25">
      <c r="B17" t="s">
        <v>33</v>
      </c>
      <c r="C17" t="s">
        <v>34</v>
      </c>
    </row>
    <row r="18" spans="1:3" x14ac:dyDescent="0.25">
      <c r="B18" t="s">
        <v>35</v>
      </c>
      <c r="C18" t="s">
        <v>36</v>
      </c>
    </row>
    <row r="19" spans="1:3" x14ac:dyDescent="0.25">
      <c r="B19" t="s">
        <v>37</v>
      </c>
      <c r="C19" t="s">
        <v>38</v>
      </c>
    </row>
    <row r="20" spans="1:3" x14ac:dyDescent="0.25">
      <c r="B20" t="s">
        <v>39</v>
      </c>
      <c r="C20" t="s">
        <v>40</v>
      </c>
    </row>
    <row r="21" spans="1:3" x14ac:dyDescent="0.25">
      <c r="B21" t="s">
        <v>41</v>
      </c>
      <c r="C21" t="s">
        <v>42</v>
      </c>
    </row>
    <row r="22" spans="1:3" x14ac:dyDescent="0.25">
      <c r="B22" t="s">
        <v>43</v>
      </c>
      <c r="C22" t="s">
        <v>44</v>
      </c>
    </row>
    <row r="23" spans="1:3" x14ac:dyDescent="0.25">
      <c r="B23" t="s">
        <v>45</v>
      </c>
      <c r="C23" t="s">
        <v>46</v>
      </c>
    </row>
    <row r="24" spans="1:3" x14ac:dyDescent="0.25">
      <c r="B24" t="s">
        <v>47</v>
      </c>
      <c r="C24" t="s">
        <v>48</v>
      </c>
    </row>
    <row r="25" spans="1:3" x14ac:dyDescent="0.25">
      <c r="B25" t="s">
        <v>49</v>
      </c>
      <c r="C25" t="s">
        <v>50</v>
      </c>
    </row>
    <row r="26" spans="1:3" x14ac:dyDescent="0.25">
      <c r="B26" t="s">
        <v>51</v>
      </c>
      <c r="C26" t="s">
        <v>52</v>
      </c>
    </row>
    <row r="27" spans="1:3" x14ac:dyDescent="0.25">
      <c r="B27" t="s">
        <v>53</v>
      </c>
      <c r="C27" t="s">
        <v>54</v>
      </c>
    </row>
    <row r="28" spans="1:3" x14ac:dyDescent="0.25">
      <c r="B28" t="s">
        <v>55</v>
      </c>
      <c r="C28" t="s">
        <v>56</v>
      </c>
    </row>
    <row r="29" spans="1:3" x14ac:dyDescent="0.25">
      <c r="A29" t="s">
        <v>57</v>
      </c>
      <c r="B29" t="s">
        <v>58</v>
      </c>
    </row>
    <row r="30" spans="1:3" x14ac:dyDescent="0.25">
      <c r="B30" t="s">
        <v>59</v>
      </c>
    </row>
    <row r="31" spans="1:3" x14ac:dyDescent="0.25">
      <c r="B31" t="s">
        <v>60</v>
      </c>
    </row>
    <row r="32" spans="1:3" x14ac:dyDescent="0.25">
      <c r="B32" t="s">
        <v>61</v>
      </c>
    </row>
    <row r="33" spans="1:3" x14ac:dyDescent="0.25">
      <c r="A33" t="s">
        <v>62</v>
      </c>
      <c r="B33" t="s">
        <v>63</v>
      </c>
      <c r="C33" t="s">
        <v>64</v>
      </c>
    </row>
    <row r="34" spans="1:3" x14ac:dyDescent="0.25">
      <c r="B34" t="s">
        <v>65</v>
      </c>
      <c r="C34" t="s">
        <v>66</v>
      </c>
    </row>
    <row r="35" spans="1:3" x14ac:dyDescent="0.25">
      <c r="B35" t="s">
        <v>61</v>
      </c>
      <c r="C35" t="s">
        <v>61</v>
      </c>
    </row>
    <row r="36" spans="1:3" x14ac:dyDescent="0.25">
      <c r="A36" t="s">
        <v>67</v>
      </c>
      <c r="B36" t="s">
        <v>68</v>
      </c>
    </row>
    <row r="37" spans="1:3" x14ac:dyDescent="0.25">
      <c r="B37" t="s">
        <v>69</v>
      </c>
    </row>
    <row r="38" spans="1:3" x14ac:dyDescent="0.25">
      <c r="B38" t="s">
        <v>70</v>
      </c>
    </row>
    <row r="39" spans="1:3" x14ac:dyDescent="0.25">
      <c r="B39" t="s">
        <v>61</v>
      </c>
    </row>
    <row r="40" spans="1:3" x14ac:dyDescent="0.25">
      <c r="A40" t="s">
        <v>71</v>
      </c>
      <c r="B40" t="s">
        <v>68</v>
      </c>
    </row>
    <row r="41" spans="1:3" x14ac:dyDescent="0.25">
      <c r="B41" t="s">
        <v>69</v>
      </c>
    </row>
    <row r="42" spans="1:3" x14ac:dyDescent="0.25">
      <c r="B42" t="s">
        <v>61</v>
      </c>
    </row>
    <row r="43" spans="1:3" x14ac:dyDescent="0.25">
      <c r="A43" t="s">
        <v>72</v>
      </c>
      <c r="B43" t="s">
        <v>73</v>
      </c>
    </row>
    <row r="44" spans="1:3" x14ac:dyDescent="0.25">
      <c r="B44" t="s">
        <v>74</v>
      </c>
    </row>
    <row r="45" spans="1:3" x14ac:dyDescent="0.25">
      <c r="B45" t="s">
        <v>61</v>
      </c>
    </row>
    <row r="46" spans="1:3" x14ac:dyDescent="0.25">
      <c r="A46" t="s">
        <v>75</v>
      </c>
      <c r="B46" t="s">
        <v>76</v>
      </c>
    </row>
    <row r="47" spans="1:3" x14ac:dyDescent="0.25">
      <c r="B47" t="s">
        <v>73</v>
      </c>
    </row>
    <row r="48" spans="1:3" x14ac:dyDescent="0.25">
      <c r="B48" t="s">
        <v>74</v>
      </c>
    </row>
    <row r="49" spans="1:2" x14ac:dyDescent="0.25">
      <c r="B49" t="s">
        <v>61</v>
      </c>
    </row>
    <row r="50" spans="1:2" x14ac:dyDescent="0.25">
      <c r="A50" t="s">
        <v>77</v>
      </c>
      <c r="B50" t="s">
        <v>68</v>
      </c>
    </row>
    <row r="51" spans="1:2" x14ac:dyDescent="0.25">
      <c r="B51" t="s">
        <v>78</v>
      </c>
    </row>
    <row r="52" spans="1:2" x14ac:dyDescent="0.25">
      <c r="B52" t="s">
        <v>79</v>
      </c>
    </row>
    <row r="53" spans="1:2" x14ac:dyDescent="0.25">
      <c r="B53" t="s">
        <v>80</v>
      </c>
    </row>
    <row r="54" spans="1:2" x14ac:dyDescent="0.25">
      <c r="B54" t="s">
        <v>61</v>
      </c>
    </row>
    <row r="55" spans="1:2" x14ac:dyDescent="0.25">
      <c r="A55" t="s">
        <v>81</v>
      </c>
      <c r="B55" t="s">
        <v>76</v>
      </c>
    </row>
    <row r="56" spans="1:2" x14ac:dyDescent="0.25">
      <c r="B56" t="s">
        <v>82</v>
      </c>
    </row>
    <row r="57" spans="1:2" x14ac:dyDescent="0.25">
      <c r="B57" t="s">
        <v>83</v>
      </c>
    </row>
    <row r="58" spans="1:2" x14ac:dyDescent="0.25">
      <c r="B58" t="s">
        <v>84</v>
      </c>
    </row>
    <row r="59" spans="1:2" x14ac:dyDescent="0.25">
      <c r="B59" t="s">
        <v>85</v>
      </c>
    </row>
    <row r="60" spans="1:2" x14ac:dyDescent="0.25">
      <c r="B60" t="s">
        <v>86</v>
      </c>
    </row>
    <row r="61" spans="1:2" x14ac:dyDescent="0.25">
      <c r="B61" t="s">
        <v>87</v>
      </c>
    </row>
    <row r="62" spans="1:2" x14ac:dyDescent="0.25">
      <c r="B62" t="s">
        <v>61</v>
      </c>
    </row>
    <row r="63" spans="1:2" x14ac:dyDescent="0.25">
      <c r="A63" t="s">
        <v>88</v>
      </c>
      <c r="B63" t="s">
        <v>76</v>
      </c>
    </row>
    <row r="64" spans="1:2" x14ac:dyDescent="0.25">
      <c r="B64" t="s">
        <v>89</v>
      </c>
    </row>
    <row r="65" spans="1:2" x14ac:dyDescent="0.25">
      <c r="B65" t="s">
        <v>90</v>
      </c>
    </row>
    <row r="66" spans="1:2" x14ac:dyDescent="0.25">
      <c r="B66" t="s">
        <v>91</v>
      </c>
    </row>
    <row r="67" spans="1:2" x14ac:dyDescent="0.25">
      <c r="B67" t="s">
        <v>92</v>
      </c>
    </row>
    <row r="68" spans="1:2" x14ac:dyDescent="0.25">
      <c r="B68" t="s">
        <v>93</v>
      </c>
    </row>
    <row r="69" spans="1:2" x14ac:dyDescent="0.25">
      <c r="B69" t="s">
        <v>61</v>
      </c>
    </row>
    <row r="70" spans="1:2" x14ac:dyDescent="0.25">
      <c r="A70" t="s">
        <v>94</v>
      </c>
      <c r="B70" t="s">
        <v>68</v>
      </c>
    </row>
    <row r="71" spans="1:2" x14ac:dyDescent="0.25">
      <c r="B71" t="s">
        <v>69</v>
      </c>
    </row>
    <row r="72" spans="1:2" x14ac:dyDescent="0.25">
      <c r="B72" t="s">
        <v>61</v>
      </c>
    </row>
    <row r="73" spans="1:2" x14ac:dyDescent="0.25">
      <c r="A73" t="s">
        <v>95</v>
      </c>
      <c r="B73" t="s">
        <v>68</v>
      </c>
    </row>
    <row r="74" spans="1:2" x14ac:dyDescent="0.25">
      <c r="B74" t="s">
        <v>69</v>
      </c>
    </row>
    <row r="75" spans="1:2" x14ac:dyDescent="0.25">
      <c r="B75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1:H22"/>
  <sheetViews>
    <sheetView workbookViewId="0">
      <selection activeCell="J8" sqref="J8"/>
    </sheetView>
  </sheetViews>
  <sheetFormatPr defaultRowHeight="15" x14ac:dyDescent="0.25"/>
  <cols>
    <col min="1" max="1" width="33.5703125" bestFit="1" customWidth="1"/>
    <col min="2" max="2" width="14.7109375" bestFit="1" customWidth="1"/>
    <col min="4" max="4" width="24.28515625" bestFit="1" customWidth="1"/>
    <col min="5" max="5" width="14.7109375" bestFit="1" customWidth="1"/>
    <col min="7" max="7" width="25.28515625" bestFit="1" customWidth="1"/>
    <col min="8" max="8" width="14.7109375" bestFit="1" customWidth="1"/>
  </cols>
  <sheetData>
    <row r="1" spans="1:8" x14ac:dyDescent="0.25">
      <c r="B1" t="s">
        <v>96</v>
      </c>
      <c r="E1" t="s">
        <v>96</v>
      </c>
      <c r="H1" t="s">
        <v>96</v>
      </c>
    </row>
    <row r="2" spans="1:8" x14ac:dyDescent="0.25">
      <c r="A2" s="1" t="s">
        <v>97</v>
      </c>
      <c r="D2" s="1" t="s">
        <v>60</v>
      </c>
      <c r="G2" s="1" t="s">
        <v>59</v>
      </c>
    </row>
    <row r="3" spans="1:8" x14ac:dyDescent="0.25">
      <c r="A3" t="s">
        <v>98</v>
      </c>
      <c r="B3">
        <v>15</v>
      </c>
      <c r="D3" t="s">
        <v>99</v>
      </c>
      <c r="E3">
        <f>B3</f>
        <v>15</v>
      </c>
      <c r="G3" t="s">
        <v>99</v>
      </c>
      <c r="H3">
        <f>E3</f>
        <v>15</v>
      </c>
    </row>
    <row r="4" spans="1:8" x14ac:dyDescent="0.25">
      <c r="A4" t="s">
        <v>100</v>
      </c>
      <c r="B4">
        <v>5</v>
      </c>
      <c r="D4" t="s">
        <v>100</v>
      </c>
      <c r="E4">
        <v>6</v>
      </c>
      <c r="G4" t="s">
        <v>100</v>
      </c>
      <c r="H4">
        <v>6</v>
      </c>
    </row>
    <row r="5" spans="1:8" x14ac:dyDescent="0.25">
      <c r="A5" s="2" t="s">
        <v>101</v>
      </c>
      <c r="B5">
        <v>0.25</v>
      </c>
      <c r="D5" s="2" t="s">
        <v>102</v>
      </c>
      <c r="E5">
        <f>B5</f>
        <v>0.25</v>
      </c>
      <c r="G5" s="2" t="s">
        <v>102</v>
      </c>
      <c r="H5">
        <f>B5</f>
        <v>0.25</v>
      </c>
    </row>
    <row r="6" spans="1:8" x14ac:dyDescent="0.25">
      <c r="A6" s="2" t="s">
        <v>103</v>
      </c>
      <c r="B6">
        <f>0.33/2</f>
        <v>0.16500000000000001</v>
      </c>
      <c r="D6" s="2" t="s">
        <v>104</v>
      </c>
      <c r="E6">
        <f>B6</f>
        <v>0.16500000000000001</v>
      </c>
      <c r="G6" s="2" t="s">
        <v>104</v>
      </c>
      <c r="H6">
        <f>B6</f>
        <v>0.16500000000000001</v>
      </c>
    </row>
    <row r="7" spans="1:8" x14ac:dyDescent="0.25">
      <c r="A7" t="s">
        <v>105</v>
      </c>
      <c r="B7">
        <v>0.15</v>
      </c>
      <c r="D7" t="s">
        <v>106</v>
      </c>
      <c r="E7">
        <v>0.3</v>
      </c>
      <c r="G7" t="s">
        <v>106</v>
      </c>
      <c r="H7">
        <v>5</v>
      </c>
    </row>
    <row r="8" spans="1:8" x14ac:dyDescent="0.25">
      <c r="A8" t="s">
        <v>107</v>
      </c>
      <c r="B8">
        <v>5</v>
      </c>
      <c r="D8" t="s">
        <v>105</v>
      </c>
      <c r="E8">
        <f>B7</f>
        <v>0.15</v>
      </c>
      <c r="G8" t="s">
        <v>105</v>
      </c>
      <c r="H8">
        <f>B7</f>
        <v>0.15</v>
      </c>
    </row>
    <row r="9" spans="1:8" x14ac:dyDescent="0.25">
      <c r="D9" t="s">
        <v>107</v>
      </c>
      <c r="E9">
        <v>5</v>
      </c>
      <c r="G9" t="s">
        <v>107</v>
      </c>
      <c r="H9">
        <v>5</v>
      </c>
    </row>
    <row r="12" spans="1:8" x14ac:dyDescent="0.25">
      <c r="A12" s="1" t="s">
        <v>108</v>
      </c>
      <c r="D12" s="1" t="s">
        <v>109</v>
      </c>
      <c r="G12" s="1" t="s">
        <v>62</v>
      </c>
    </row>
    <row r="13" spans="1:8" x14ac:dyDescent="0.25">
      <c r="A13" t="s">
        <v>110</v>
      </c>
      <c r="B13">
        <v>15</v>
      </c>
      <c r="D13" t="s">
        <v>111</v>
      </c>
      <c r="E13">
        <v>10</v>
      </c>
      <c r="G13" t="s">
        <v>112</v>
      </c>
      <c r="H13">
        <v>5</v>
      </c>
    </row>
    <row r="14" spans="1:8" x14ac:dyDescent="0.25">
      <c r="A14" t="s">
        <v>113</v>
      </c>
      <c r="B14">
        <v>3</v>
      </c>
      <c r="D14" t="s">
        <v>114</v>
      </c>
      <c r="E14">
        <v>0.5</v>
      </c>
      <c r="G14" t="s">
        <v>115</v>
      </c>
      <c r="H14">
        <v>2</v>
      </c>
    </row>
    <row r="15" spans="1:8" x14ac:dyDescent="0.25">
      <c r="A15" t="s">
        <v>116</v>
      </c>
      <c r="B15">
        <v>2</v>
      </c>
    </row>
    <row r="16" spans="1:8" x14ac:dyDescent="0.25">
      <c r="A16" t="s">
        <v>117</v>
      </c>
      <c r="B16">
        <v>5</v>
      </c>
    </row>
    <row r="18" spans="1:8" x14ac:dyDescent="0.25">
      <c r="A18" s="1" t="s">
        <v>67</v>
      </c>
      <c r="D18" s="1" t="s">
        <v>71</v>
      </c>
      <c r="G18" s="1" t="s">
        <v>72</v>
      </c>
    </row>
    <row r="19" spans="1:8" x14ac:dyDescent="0.25">
      <c r="A19" t="s">
        <v>118</v>
      </c>
      <c r="B19">
        <v>6</v>
      </c>
      <c r="D19" t="s">
        <v>119</v>
      </c>
      <c r="E19">
        <v>2</v>
      </c>
      <c r="G19" t="s">
        <v>120</v>
      </c>
      <c r="H19">
        <v>0.2</v>
      </c>
    </row>
    <row r="20" spans="1:8" x14ac:dyDescent="0.25">
      <c r="A20" t="s">
        <v>121</v>
      </c>
      <c r="B20">
        <v>5</v>
      </c>
      <c r="D20" t="s">
        <v>122</v>
      </c>
      <c r="E20">
        <v>2</v>
      </c>
      <c r="G20" t="s">
        <v>123</v>
      </c>
      <c r="H20">
        <v>1</v>
      </c>
    </row>
    <row r="21" spans="1:8" x14ac:dyDescent="0.25">
      <c r="A21" t="s">
        <v>124</v>
      </c>
      <c r="B21">
        <v>1</v>
      </c>
    </row>
    <row r="22" spans="1:8" x14ac:dyDescent="0.25">
      <c r="A22" t="s">
        <v>125</v>
      </c>
      <c r="B22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U4"/>
  <sheetViews>
    <sheetView workbookViewId="0">
      <selection activeCell="G11" sqref="G11"/>
    </sheetView>
  </sheetViews>
  <sheetFormatPr defaultRowHeight="15" x14ac:dyDescent="0.25"/>
  <sheetData>
    <row r="1" spans="1:21" x14ac:dyDescent="0.25">
      <c r="A1" t="s">
        <v>126</v>
      </c>
      <c r="B1" t="s">
        <v>138</v>
      </c>
      <c r="C1" t="s">
        <v>59</v>
      </c>
      <c r="D1" t="s">
        <v>139</v>
      </c>
      <c r="E1" t="s">
        <v>127</v>
      </c>
      <c r="F1" t="s">
        <v>140</v>
      </c>
      <c r="G1" t="s">
        <v>128</v>
      </c>
      <c r="H1" t="s">
        <v>141</v>
      </c>
      <c r="I1" t="s">
        <v>129</v>
      </c>
      <c r="J1" t="s">
        <v>130</v>
      </c>
      <c r="K1" t="s">
        <v>131</v>
      </c>
      <c r="L1" t="s">
        <v>132</v>
      </c>
      <c r="M1" t="s">
        <v>71</v>
      </c>
      <c r="N1" t="s">
        <v>133</v>
      </c>
      <c r="O1" t="s">
        <v>142</v>
      </c>
      <c r="P1" t="s">
        <v>78</v>
      </c>
      <c r="Q1" t="s">
        <v>134</v>
      </c>
      <c r="R1" t="s">
        <v>135</v>
      </c>
      <c r="S1" t="s">
        <v>136</v>
      </c>
      <c r="T1" t="s">
        <v>137</v>
      </c>
      <c r="U1" t="s">
        <v>143</v>
      </c>
    </row>
    <row r="2" spans="1:21" x14ac:dyDescent="0.25">
      <c r="A2">
        <v>1234</v>
      </c>
    </row>
    <row r="3" spans="1:21" x14ac:dyDescent="0.25">
      <c r="A3">
        <v>1234</v>
      </c>
    </row>
    <row r="4" spans="1:21" x14ac:dyDescent="0.25">
      <c r="A4">
        <v>1234</v>
      </c>
      <c r="B4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Dropdown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2022-10-06T05:55:15Z</dcterms:modified>
</cp:coreProperties>
</file>