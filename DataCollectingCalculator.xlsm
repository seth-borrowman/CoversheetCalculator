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84EC96E9-FCA8-47AA-8779-639EF4852410}" xr6:coauthVersionLast="36" xr6:coauthVersionMax="36" xr10:uidLastSave="{00000000-0000-0000-0000-000000000000}"/>
  <bookViews>
    <workbookView xWindow="0" yWindow="0" windowWidth="21600" windowHeight="9225" activeTab="2" xr2:uid="{2C9A03A1-7EDF-4814-8CE0-B2587931B15A}"/>
  </bookViews>
  <sheets>
    <sheet name="Sheet1" sheetId="1" r:id="rId1"/>
    <sheet name="Times" sheetId="3" state="hidden" r:id="rId2"/>
    <sheet name="Data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3" i="3" l="1"/>
  <c r="M52" i="3"/>
  <c r="M51" i="3"/>
  <c r="M50" i="3"/>
  <c r="M49" i="3"/>
  <c r="M48" i="3"/>
  <c r="M47" i="3"/>
  <c r="M46" i="3"/>
  <c r="M45" i="3"/>
  <c r="M44" i="3"/>
  <c r="M43" i="3"/>
  <c r="M42" i="3"/>
  <c r="S9" i="3" l="1"/>
  <c r="P9" i="3"/>
  <c r="M7" i="3"/>
  <c r="P7" i="3" s="1"/>
  <c r="S6" i="3"/>
  <c r="P6" i="3"/>
  <c r="P4" i="3"/>
  <c r="S4" i="3" s="1"/>
  <c r="S7" i="3" l="1"/>
</calcChain>
</file>

<file path=xl/sharedStrings.xml><?xml version="1.0" encoding="utf-8"?>
<sst xmlns="http://schemas.openxmlformats.org/spreadsheetml/2006/main" count="106" uniqueCount="90">
  <si>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</si>
  <si>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</si>
  <si>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</si>
  <si>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</si>
  <si>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</si>
  <si>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</si>
  <si>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</si>
  <si>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</si>
  <si>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</si>
  <si>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</si>
  <si>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</si>
  <si>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</si>
  <si>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</si>
  <si>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</si>
  <si>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</si>
  <si>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</si>
  <si>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</si>
  <si>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</si>
  <si>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</si>
  <si>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</si>
  <si>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</si>
  <si>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</si>
  <si>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</si>
  <si>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</si>
  <si>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</si>
  <si>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</si>
  <si>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</si>
  <si>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</si>
  <si>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</si>
  <si>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</si>
  <si>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</si>
  <si>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</si>
  <si>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</si>
  <si>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</si>
  <si>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</si>
  <si>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</si>
  <si>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</si>
  <si>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</si>
  <si>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</si>
  <si>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</si>
  <si>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</si>
  <si>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</si>
  <si>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</si>
  <si>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</si>
  <si>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</si>
  <si>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</si>
  <si>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</si>
  <si>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</si>
  <si>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</si>
  <si>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</si>
  <si>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</si>
  <si>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</si>
  <si>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</si>
  <si>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</si>
  <si>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</si>
  <si>
    <t>DateTime</t>
  </si>
  <si>
    <t>Spec Sheets</t>
  </si>
  <si>
    <t>QC Traces</t>
  </si>
  <si>
    <t>Special Packaging</t>
  </si>
  <si>
    <t>DNase/RNase Testing</t>
  </si>
  <si>
    <t>&gt;100 (per rack)</t>
  </si>
  <si>
    <t>Print/organize Traces</t>
  </si>
  <si>
    <t>Bullet Box (per box)</t>
  </si>
  <si>
    <t>Print/organize multiple / ref</t>
  </si>
  <si>
    <t>Individually Bagged (per aliquot)</t>
  </si>
  <si>
    <t>Bagged w/ SAP label (per aliquot)</t>
  </si>
  <si>
    <t>Foil Bags (per aliquot)</t>
  </si>
  <si>
    <t>Outgoing Packaging</t>
  </si>
  <si>
    <t>Ship Partial</t>
  </si>
  <si>
    <t>Adapter Review</t>
  </si>
  <si>
    <t>CCM/Qiagen/BioRad?</t>
  </si>
  <si>
    <t># of formulation events</t>
  </si>
  <si>
    <t>HQC QC base</t>
  </si>
  <si>
    <t>Manager Review (base)</t>
  </si>
  <si>
    <t>HQC QC / ref</t>
  </si>
  <si>
    <t>Manager Review added per ref</t>
  </si>
  <si>
    <t>Added time for qiagen</t>
  </si>
  <si>
    <t>Added time for Bio-Rad</t>
  </si>
  <si>
    <t>FormType</t>
  </si>
  <si>
    <t>FormType1</t>
  </si>
  <si>
    <t>NonSynthTime</t>
  </si>
  <si>
    <t>HandODTime</t>
  </si>
  <si>
    <t>LabelTime</t>
  </si>
  <si>
    <t>SpecSheetTime</t>
  </si>
  <si>
    <t>TracesTime</t>
  </si>
  <si>
    <t>SpecialPack</t>
  </si>
  <si>
    <t>ShipPartial</t>
  </si>
  <si>
    <t>AdapterReview</t>
  </si>
  <si>
    <t>ManagerReview</t>
  </si>
  <si>
    <t>FormulatePartial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</si>
</sst>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38100</xdr:rowOff>
        </xdr:from>
        <xdr:to>
          <xdr:col>3</xdr:col>
          <xdr:colOff>600075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1</xdr:row>
          <xdr:rowOff>38100</xdr:rowOff>
        </xdr:from>
        <xdr:to>
          <xdr:col>7</xdr:col>
          <xdr:colOff>438150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for CPF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workbookViewId="0">
      <selection activeCell="G14" sqref="G1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38100</xdr:rowOff>
                  </from>
                  <to>
                    <xdr:col>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">
                <anchor moveWithCells="1" sizeWithCells="1">
                  <from>
                    <xdr:col>4</xdr:col>
                    <xdr:colOff>447675</xdr:colOff>
                    <xdr:row>1</xdr:row>
                    <xdr:rowOff>38100</xdr:rowOff>
                  </from>
                  <to>
                    <xdr:col>7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2:S53"/>
  <sheetViews>
    <sheetView topLeftCell="L1" workbookViewId="0">
      <selection activeCell="X38" sqref="X38"/>
    </sheetView>
  </sheetViews>
  <sheetFormatPr defaultRowHeight="15" x14ac:dyDescent="0.25"/>
  <cols>
    <col min="1" max="1" width="33.5703125" hidden="1" customWidth="1"/>
    <col min="2" max="2" width="14.7109375" hidden="1" customWidth="1"/>
    <col min="3" max="3" width="0" hidden="1" customWidth="1"/>
    <col min="4" max="4" width="24.28515625" hidden="1" customWidth="1"/>
    <col min="5" max="5" width="14.7109375" hidden="1" customWidth="1"/>
    <col min="6" max="6" width="0" hidden="1" customWidth="1"/>
    <col min="7" max="7" width="25.28515625" hidden="1" customWidth="1"/>
    <col min="8" max="8" width="14.7109375" hidden="1" customWidth="1"/>
    <col min="9" max="11" width="0" hidden="1" customWidth="1"/>
    <col min="12" max="12" width="33.5703125" bestFit="1" customWidth="1"/>
    <col min="13" max="13" width="14.7109375" bestFit="1" customWidth="1"/>
    <col min="15" max="15" width="24.28515625" bestFit="1" customWidth="1"/>
    <col min="16" max="16" width="14.7109375" bestFit="1" customWidth="1"/>
    <col min="18" max="18" width="25.28515625" bestFit="1" customWidth="1"/>
    <col min="19" max="19" width="14.7109375" bestFit="1" customWidth="1"/>
  </cols>
  <sheetData>
    <row r="2" spans="12:19" x14ac:dyDescent="0.25">
      <c r="M2" t="s">
        <v>7</v>
      </c>
      <c r="P2" t="s">
        <v>7</v>
      </c>
      <c r="S2" t="s">
        <v>7</v>
      </c>
    </row>
    <row r="3" spans="12:19" x14ac:dyDescent="0.25">
      <c r="L3" s="1" t="s">
        <v>8</v>
      </c>
      <c r="O3" s="1" t="s">
        <v>1</v>
      </c>
      <c r="R3" s="1" t="s">
        <v>0</v>
      </c>
    </row>
    <row r="4" spans="12:19" x14ac:dyDescent="0.25">
      <c r="L4" t="s">
        <v>9</v>
      </c>
      <c r="M4">
        <v>15</v>
      </c>
      <c r="O4" t="s">
        <v>10</v>
      </c>
      <c r="P4">
        <f>M4</f>
        <v>15</v>
      </c>
      <c r="R4" t="s">
        <v>10</v>
      </c>
      <c r="S4">
        <f>P4</f>
        <v>15</v>
      </c>
    </row>
    <row r="5" spans="12:19" x14ac:dyDescent="0.25">
      <c r="L5" t="s">
        <v>11</v>
      </c>
      <c r="M5">
        <v>5</v>
      </c>
      <c r="O5" t="s">
        <v>11</v>
      </c>
      <c r="P5">
        <v>6</v>
      </c>
      <c r="R5" t="s">
        <v>11</v>
      </c>
      <c r="S5">
        <v>6</v>
      </c>
    </row>
    <row r="6" spans="12:19" x14ac:dyDescent="0.25">
      <c r="L6" s="2" t="s">
        <v>12</v>
      </c>
      <c r="M6">
        <v>0.25</v>
      </c>
      <c r="O6" s="2" t="s">
        <v>13</v>
      </c>
      <c r="P6">
        <f>M6</f>
        <v>0.25</v>
      </c>
      <c r="R6" s="2" t="s">
        <v>13</v>
      </c>
      <c r="S6">
        <f>M6</f>
        <v>0.25</v>
      </c>
    </row>
    <row r="7" spans="12:19" x14ac:dyDescent="0.25">
      <c r="L7" s="2" t="s">
        <v>14</v>
      </c>
      <c r="M7">
        <f>0.33/2</f>
        <v>0.16500000000000001</v>
      </c>
      <c r="O7" s="2" t="s">
        <v>15</v>
      </c>
      <c r="P7">
        <f>M7</f>
        <v>0.16500000000000001</v>
      </c>
      <c r="R7" s="2" t="s">
        <v>15</v>
      </c>
      <c r="S7">
        <f>M7</f>
        <v>0.16500000000000001</v>
      </c>
    </row>
    <row r="8" spans="12:19" x14ac:dyDescent="0.25">
      <c r="L8" t="s">
        <v>16</v>
      </c>
      <c r="M8">
        <v>0.15</v>
      </c>
      <c r="O8" t="s">
        <v>17</v>
      </c>
      <c r="P8">
        <v>0.3</v>
      </c>
      <c r="R8" t="s">
        <v>17</v>
      </c>
      <c r="S8">
        <v>5</v>
      </c>
    </row>
    <row r="9" spans="12:19" x14ac:dyDescent="0.25">
      <c r="L9" t="s">
        <v>18</v>
      </c>
      <c r="M9">
        <v>5</v>
      </c>
      <c r="O9" t="s">
        <v>16</v>
      </c>
      <c r="P9">
        <f>M8</f>
        <v>0.15</v>
      </c>
      <c r="R9" t="s">
        <v>16</v>
      </c>
      <c r="S9">
        <f>M8</f>
        <v>0.15</v>
      </c>
    </row>
    <row r="10" spans="12:19" x14ac:dyDescent="0.25">
      <c r="O10" t="s">
        <v>18</v>
      </c>
      <c r="P10">
        <v>5</v>
      </c>
      <c r="R10" t="s">
        <v>18</v>
      </c>
      <c r="S10">
        <v>5</v>
      </c>
    </row>
    <row r="13" spans="12:19" x14ac:dyDescent="0.25">
      <c r="L13" s="1" t="s">
        <v>19</v>
      </c>
      <c r="O13" s="1" t="s">
        <v>20</v>
      </c>
      <c r="R13" s="1" t="s">
        <v>2</v>
      </c>
    </row>
    <row r="14" spans="12:19" x14ac:dyDescent="0.25">
      <c r="L14" t="s">
        <v>21</v>
      </c>
      <c r="M14">
        <v>15</v>
      </c>
      <c r="O14" t="s">
        <v>22</v>
      </c>
      <c r="P14">
        <v>10</v>
      </c>
      <c r="R14" t="s">
        <v>23</v>
      </c>
      <c r="S14">
        <v>5</v>
      </c>
    </row>
    <row r="15" spans="12:19" x14ac:dyDescent="0.25">
      <c r="L15" t="s">
        <v>24</v>
      </c>
      <c r="M15">
        <v>3</v>
      </c>
      <c r="O15" t="s">
        <v>25</v>
      </c>
      <c r="P15">
        <v>0.5</v>
      </c>
      <c r="R15" t="s">
        <v>26</v>
      </c>
      <c r="S15">
        <v>2</v>
      </c>
    </row>
    <row r="16" spans="12:19" x14ac:dyDescent="0.25">
      <c r="L16" t="s">
        <v>27</v>
      </c>
      <c r="M16">
        <v>2</v>
      </c>
    </row>
    <row r="17" spans="12:19" x14ac:dyDescent="0.25">
      <c r="L17" t="s">
        <v>28</v>
      </c>
      <c r="M17">
        <v>5</v>
      </c>
    </row>
    <row r="19" spans="12:19" x14ac:dyDescent="0.25">
      <c r="L19" s="1" t="s">
        <v>3</v>
      </c>
      <c r="O19" s="1" t="s">
        <v>4</v>
      </c>
      <c r="R19" s="1" t="s">
        <v>5</v>
      </c>
    </row>
    <row r="20" spans="12:19" x14ac:dyDescent="0.25">
      <c r="L20" t="s">
        <v>29</v>
      </c>
      <c r="M20">
        <v>6</v>
      </c>
      <c r="O20" t="s">
        <v>30</v>
      </c>
      <c r="P20">
        <v>2</v>
      </c>
      <c r="R20" t="s">
        <v>31</v>
      </c>
      <c r="S20">
        <v>0.2</v>
      </c>
    </row>
    <row r="21" spans="12:19" x14ac:dyDescent="0.25">
      <c r="L21" t="s">
        <v>32</v>
      </c>
      <c r="M21">
        <v>5</v>
      </c>
      <c r="O21" t="s">
        <v>33</v>
      </c>
      <c r="P21">
        <v>2</v>
      </c>
      <c r="R21" t="s">
        <v>34</v>
      </c>
      <c r="S21">
        <v>1</v>
      </c>
    </row>
    <row r="22" spans="12:19" x14ac:dyDescent="0.25">
      <c r="L22" t="s">
        <v>35</v>
      </c>
      <c r="M22">
        <v>1</v>
      </c>
    </row>
    <row r="23" spans="12:19" x14ac:dyDescent="0.25">
      <c r="L23" t="s">
        <v>36</v>
      </c>
      <c r="M23">
        <v>3</v>
      </c>
    </row>
    <row r="26" spans="12:19" x14ac:dyDescent="0.25">
      <c r="L26" s="1" t="s">
        <v>56</v>
      </c>
      <c r="O26" s="1" t="s">
        <v>57</v>
      </c>
      <c r="R26" s="1" t="s">
        <v>58</v>
      </c>
    </row>
    <row r="27" spans="12:19" x14ac:dyDescent="0.25">
      <c r="L27" t="s">
        <v>31</v>
      </c>
      <c r="M27">
        <v>0.2</v>
      </c>
      <c r="O27" t="s">
        <v>59</v>
      </c>
      <c r="P27">
        <v>60</v>
      </c>
      <c r="R27" t="s">
        <v>60</v>
      </c>
      <c r="S27">
        <v>2</v>
      </c>
    </row>
    <row r="28" spans="12:19" x14ac:dyDescent="0.25">
      <c r="L28" t="s">
        <v>34</v>
      </c>
      <c r="M28">
        <v>1.5</v>
      </c>
      <c r="O28" t="s">
        <v>61</v>
      </c>
      <c r="P28">
        <v>2</v>
      </c>
      <c r="R28" t="s">
        <v>62</v>
      </c>
      <c r="S28">
        <v>2</v>
      </c>
    </row>
    <row r="29" spans="12:19" x14ac:dyDescent="0.25">
      <c r="O29" t="s">
        <v>63</v>
      </c>
      <c r="P29">
        <v>0.5</v>
      </c>
      <c r="R29" t="s">
        <v>64</v>
      </c>
      <c r="S29">
        <v>0.2</v>
      </c>
    </row>
    <row r="30" spans="12:19" x14ac:dyDescent="0.25">
      <c r="R30" t="s">
        <v>65</v>
      </c>
      <c r="S30">
        <v>0.8</v>
      </c>
    </row>
    <row r="31" spans="12:19" x14ac:dyDescent="0.25">
      <c r="R31" t="s">
        <v>66</v>
      </c>
      <c r="S31">
        <v>1</v>
      </c>
    </row>
    <row r="32" spans="12:19" x14ac:dyDescent="0.25">
      <c r="R32" t="s">
        <v>67</v>
      </c>
      <c r="S32">
        <v>3</v>
      </c>
    </row>
    <row r="34" spans="12:19" x14ac:dyDescent="0.25">
      <c r="L34" s="1" t="s">
        <v>68</v>
      </c>
      <c r="O34" s="1" t="s">
        <v>69</v>
      </c>
      <c r="R34" s="1" t="s">
        <v>70</v>
      </c>
    </row>
    <row r="35" spans="12:19" x14ac:dyDescent="0.25">
      <c r="L35" t="s">
        <v>71</v>
      </c>
      <c r="M35">
        <v>3</v>
      </c>
      <c r="O35" t="s">
        <v>72</v>
      </c>
      <c r="P35">
        <v>3</v>
      </c>
      <c r="R35" t="s">
        <v>73</v>
      </c>
      <c r="S35">
        <v>20</v>
      </c>
    </row>
    <row r="36" spans="12:19" x14ac:dyDescent="0.25">
      <c r="O36" t="s">
        <v>74</v>
      </c>
      <c r="P36">
        <v>0.2</v>
      </c>
      <c r="R36" t="s">
        <v>75</v>
      </c>
      <c r="S36">
        <v>0.3</v>
      </c>
    </row>
    <row r="37" spans="12:19" x14ac:dyDescent="0.25">
      <c r="R37" t="s">
        <v>76</v>
      </c>
      <c r="S37">
        <v>0</v>
      </c>
    </row>
    <row r="38" spans="12:19" x14ac:dyDescent="0.25">
      <c r="R38" t="s">
        <v>77</v>
      </c>
      <c r="S38">
        <v>0</v>
      </c>
    </row>
    <row r="42" spans="12:19" x14ac:dyDescent="0.25">
      <c r="L42" t="s">
        <v>78</v>
      </c>
      <c r="M42" s="4">
        <f>N42</f>
        <v>16.467083333333331</v>
      </c>
      <c r="N42" s="4">
        <v>16.467083333333331</v>
      </c>
    </row>
    <row r="43" spans="12:19" x14ac:dyDescent="0.25">
      <c r="L43" t="s">
        <v>79</v>
      </c>
      <c r="M43" s="4">
        <f>N43-N42</f>
        <v>17.442499999999999</v>
      </c>
      <c r="N43" s="4">
        <v>33.90958333333333</v>
      </c>
    </row>
    <row r="44" spans="12:19" x14ac:dyDescent="0.25">
      <c r="L44" t="s">
        <v>80</v>
      </c>
      <c r="M44" s="4">
        <f t="shared" ref="M44:M53" si="0">N44-N43</f>
        <v>0</v>
      </c>
      <c r="N44" s="4">
        <v>33.90958333333333</v>
      </c>
    </row>
    <row r="45" spans="12:19" x14ac:dyDescent="0.25">
      <c r="L45" t="s">
        <v>81</v>
      </c>
      <c r="M45" s="4">
        <f t="shared" si="0"/>
        <v>0</v>
      </c>
      <c r="N45" s="4">
        <v>33.90958333333333</v>
      </c>
    </row>
    <row r="46" spans="12:19" x14ac:dyDescent="0.25">
      <c r="L46" t="s">
        <v>82</v>
      </c>
      <c r="M46" s="4">
        <f t="shared" si="0"/>
        <v>0.79999999999999716</v>
      </c>
      <c r="N46" s="4">
        <v>34.709583333333327</v>
      </c>
    </row>
    <row r="47" spans="12:19" x14ac:dyDescent="0.25">
      <c r="L47" t="s">
        <v>83</v>
      </c>
      <c r="M47" s="4">
        <f t="shared" si="0"/>
        <v>0.79999999999999716</v>
      </c>
      <c r="N47" s="4">
        <v>35.509583333333325</v>
      </c>
    </row>
    <row r="48" spans="12:19" x14ac:dyDescent="0.25">
      <c r="L48" t="s">
        <v>84</v>
      </c>
      <c r="M48" s="4">
        <f t="shared" si="0"/>
        <v>0</v>
      </c>
      <c r="N48" s="4">
        <v>35.509583333333325</v>
      </c>
    </row>
    <row r="49" spans="12:14" x14ac:dyDescent="0.25">
      <c r="L49" t="s">
        <v>85</v>
      </c>
      <c r="M49" s="4">
        <f t="shared" si="0"/>
        <v>8</v>
      </c>
      <c r="N49" s="4">
        <v>43.509583333333325</v>
      </c>
    </row>
    <row r="50" spans="12:14" x14ac:dyDescent="0.25">
      <c r="L50" t="s">
        <v>86</v>
      </c>
      <c r="M50" s="4">
        <f t="shared" si="0"/>
        <v>0</v>
      </c>
      <c r="N50" s="4">
        <v>43.509583333333325</v>
      </c>
    </row>
    <row r="51" spans="12:14" x14ac:dyDescent="0.25">
      <c r="L51" t="s">
        <v>87</v>
      </c>
      <c r="M51" s="4">
        <f t="shared" si="0"/>
        <v>0</v>
      </c>
      <c r="N51" s="4">
        <v>43.509583333333325</v>
      </c>
    </row>
    <row r="52" spans="12:14" x14ac:dyDescent="0.25">
      <c r="L52" t="s">
        <v>88</v>
      </c>
      <c r="M52" s="4">
        <f t="shared" si="0"/>
        <v>0</v>
      </c>
      <c r="N52" s="4">
        <v>43.509583333333325</v>
      </c>
    </row>
    <row r="53" spans="12:14" x14ac:dyDescent="0.25">
      <c r="L53" t="s">
        <v>89</v>
      </c>
      <c r="M53" s="4">
        <f t="shared" si="0"/>
        <v>0</v>
      </c>
      <c r="N53" s="4">
        <v>43.509583333333325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V32"/>
  <sheetViews>
    <sheetView tabSelected="1" workbookViewId="0">
      <selection activeCell="D19" sqref="D19"/>
    </sheetView>
  </sheetViews>
  <sheetFormatPr defaultRowHeight="15" x14ac:dyDescent="0.25"/>
  <cols>
    <col min="1" max="1" width="15.85546875" bestFit="1" customWidth="1"/>
  </cols>
  <sheetData>
    <row r="1" spans="1:22" x14ac:dyDescent="0.25">
      <c r="A1" t="s">
        <v>55</v>
      </c>
      <c r="B1" t="s">
        <v>37</v>
      </c>
      <c r="C1" t="s">
        <v>49</v>
      </c>
      <c r="D1" t="s">
        <v>0</v>
      </c>
      <c r="E1" t="s">
        <v>50</v>
      </c>
      <c r="F1" t="s">
        <v>38</v>
      </c>
      <c r="G1" t="s">
        <v>51</v>
      </c>
      <c r="H1" t="s">
        <v>39</v>
      </c>
      <c r="I1" t="s">
        <v>52</v>
      </c>
      <c r="J1" t="s">
        <v>40</v>
      </c>
      <c r="K1" t="s">
        <v>41</v>
      </c>
      <c r="L1" t="s">
        <v>42</v>
      </c>
      <c r="M1" t="s">
        <v>43</v>
      </c>
      <c r="N1" t="s">
        <v>4</v>
      </c>
      <c r="O1" t="s">
        <v>44</v>
      </c>
      <c r="P1" t="s">
        <v>53</v>
      </c>
      <c r="Q1" t="s">
        <v>6</v>
      </c>
      <c r="R1" t="s">
        <v>45</v>
      </c>
      <c r="S1" t="s">
        <v>46</v>
      </c>
      <c r="T1" t="s">
        <v>47</v>
      </c>
      <c r="U1" t="s">
        <v>48</v>
      </c>
      <c r="V1" t="s">
        <v>54</v>
      </c>
    </row>
    <row r="2" spans="1:22" x14ac:dyDescent="0.25">
      <c r="A2" s="3"/>
    </row>
    <row r="3" spans="1:22" x14ac:dyDescent="0.25">
      <c r="A3" s="3"/>
    </row>
    <row r="4" spans="1:22" x14ac:dyDescent="0.25">
      <c r="A4" s="3"/>
    </row>
    <row r="5" spans="1:22" x14ac:dyDescent="0.25">
      <c r="A5" s="3"/>
    </row>
    <row r="6" spans="1:22" x14ac:dyDescent="0.25">
      <c r="A6" s="3"/>
    </row>
    <row r="7" spans="1:22" x14ac:dyDescent="0.25">
      <c r="A7" s="3"/>
    </row>
    <row r="8" spans="1:22" x14ac:dyDescent="0.25">
      <c r="A8" s="3"/>
    </row>
    <row r="9" spans="1:22" x14ac:dyDescent="0.25">
      <c r="A9" s="3"/>
    </row>
    <row r="10" spans="1:22" x14ac:dyDescent="0.25">
      <c r="A10" s="3"/>
    </row>
    <row r="11" spans="1:22" x14ac:dyDescent="0.25">
      <c r="A11" s="3"/>
    </row>
    <row r="12" spans="1:22" x14ac:dyDescent="0.25">
      <c r="A12" s="3"/>
    </row>
    <row r="13" spans="1:22" x14ac:dyDescent="0.25">
      <c r="A13" s="3"/>
    </row>
    <row r="14" spans="1:22" x14ac:dyDescent="0.25">
      <c r="A14" s="3"/>
    </row>
    <row r="15" spans="1:22" x14ac:dyDescent="0.25">
      <c r="A15" s="3"/>
    </row>
    <row r="16" spans="1:22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2022-10-12T00:26:59Z</dcterms:modified>
</cp:coreProperties>
</file>