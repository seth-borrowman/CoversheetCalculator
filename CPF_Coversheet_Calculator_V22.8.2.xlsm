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W:\Packaging and Formulation\2_Personal Folders\Seth\SethsSuperSecretSpecialistStuff\Coversheet Calculator Creation\"/>
    </mc:Choice>
  </mc:AlternateContent>
  <xr:revisionPtr revIDLastSave="0" documentId="13_ncr:1_{E2AF8A67-790B-435D-A27D-444FCF44F6A5}" xr6:coauthVersionLast="36" xr6:coauthVersionMax="47" xr10:uidLastSave="{00000000-0000-0000-0000-000000000000}"/>
  <bookViews>
    <workbookView xWindow="25080" yWindow="0" windowWidth="25440" windowHeight="15390" xr2:uid="{00000000-000D-0000-FFFF-FFFF00000000}"/>
  </bookViews>
  <sheets>
    <sheet name="Input" sheetId="1" r:id="rId1"/>
    <sheet name="Sheet1" sheetId="6" state="hidden" r:id="rId2"/>
    <sheet name="Sheet2" sheetId="5" state="hidden" r:id="rId3"/>
    <sheet name="Dropdown" sheetId="2" state="hidden" r:id="rId4"/>
  </sheets>
  <functionGroups builtInGroupCount="19"/>
  <calcPr calcId="191029" forceFullCalc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6" i="1" l="1"/>
  <c r="B37" i="1" l="1"/>
  <c r="B38" i="1"/>
  <c r="B39" i="1"/>
  <c r="B40" i="1"/>
  <c r="B41" i="1"/>
  <c r="B42" i="1"/>
  <c r="B43" i="1"/>
  <c r="B44" i="1"/>
  <c r="B45" i="1"/>
  <c r="B36" i="1"/>
  <c r="B35" i="1"/>
  <c r="M7" i="1" l="1"/>
  <c r="S7" i="1" l="1"/>
  <c r="S6" i="1"/>
  <c r="S9" i="1"/>
  <c r="C23" i="1" l="1"/>
  <c r="P9" i="1" l="1"/>
  <c r="P7" i="1"/>
  <c r="P6" i="1"/>
  <c r="P4" i="1"/>
  <c r="S4" i="1" s="1"/>
  <c r="D4" i="1"/>
</calcChain>
</file>

<file path=xl/sharedStrings.xml><?xml version="1.0" encoding="utf-8"?>
<sst xmlns="http://schemas.openxmlformats.org/spreadsheetml/2006/main" count="397" uniqueCount="209">
  <si>
    <t>Hours</t>
  </si>
  <si>
    <t>Formulation File</t>
  </si>
  <si>
    <t>Formulation Type</t>
  </si>
  <si>
    <t>Non-Synth items</t>
  </si>
  <si>
    <t>Shipping conditions</t>
  </si>
  <si>
    <t>Refs shipping</t>
  </si>
  <si>
    <t>Aliquots</t>
  </si>
  <si>
    <t>Hand OD</t>
  </si>
  <si>
    <t>BECC</t>
  </si>
  <si>
    <t>Labels</t>
  </si>
  <si>
    <t>Spec sheets</t>
  </si>
  <si>
    <t>Special Packaging</t>
  </si>
  <si>
    <t>Adapter Review</t>
  </si>
  <si>
    <t>PNF-200</t>
  </si>
  <si>
    <t>PNF-10X-162</t>
  </si>
  <si>
    <t>PNF-164</t>
  </si>
  <si>
    <t>PNF-165</t>
  </si>
  <si>
    <t>PNF-173</t>
  </si>
  <si>
    <t>PNF-174</t>
  </si>
  <si>
    <t>10X Genomics Formulation Template</t>
  </si>
  <si>
    <t>Canon Processing</t>
  </si>
  <si>
    <t>Akoya Formulation Template</t>
  </si>
  <si>
    <t>NuProbe Kits Formulation Template</t>
  </si>
  <si>
    <t>Common Strand Duplex Template</t>
  </si>
  <si>
    <t>PNF-175</t>
  </si>
  <si>
    <t>Invivoscribe Verify ESI with Mixed Bases</t>
  </si>
  <si>
    <t>PNF-179</t>
  </si>
  <si>
    <t>DxTerity Direct Prime Mix Template</t>
  </si>
  <si>
    <t>PNF-183</t>
  </si>
  <si>
    <t>Thermo DNase Alert Template</t>
  </si>
  <si>
    <t>PNF-185</t>
  </si>
  <si>
    <t>Pac Bio BECC Formulation Template</t>
  </si>
  <si>
    <t>PNF-190</t>
  </si>
  <si>
    <t>Agilent BECC Template (mg reporting)</t>
  </si>
  <si>
    <t>CPF Master Formulation Template</t>
  </si>
  <si>
    <t>PNF-499</t>
  </si>
  <si>
    <t>Qiagen PolyA Template</t>
  </si>
  <si>
    <t>PNF-500</t>
  </si>
  <si>
    <t>KRAS Long Oligo Formulation Template</t>
  </si>
  <si>
    <t>PNF-501</t>
  </si>
  <si>
    <t>BRAF Long Oligo Formulation Template</t>
  </si>
  <si>
    <t>PNF-502</t>
  </si>
  <si>
    <t>EGFR Long Oligo Formulation Template</t>
  </si>
  <si>
    <t>PNF-503</t>
  </si>
  <si>
    <t>EGFR 4 Positive Control Long Oligo Formulation Template</t>
  </si>
  <si>
    <t>PNF-505</t>
  </si>
  <si>
    <t>T315I Formulation Template</t>
  </si>
  <si>
    <t>PNF-AGI-135</t>
  </si>
  <si>
    <t>Agilent Oligonucleotide Ladder and Resolution Mixes</t>
  </si>
  <si>
    <t>PNF-BIORAD-001</t>
  </si>
  <si>
    <t>Bio-Rad Pluto Formulation</t>
  </si>
  <si>
    <t>PNF-BIORAD-002</t>
  </si>
  <si>
    <t>Bio-Rad Calibrant ICycler Process Flow</t>
  </si>
  <si>
    <t>PNF-BIORAD-108</t>
  </si>
  <si>
    <t>Bio-Rad PCR Control Template Dilution</t>
  </si>
  <si>
    <t>Bio-Rad RT Template Dilution</t>
  </si>
  <si>
    <t>PNF-BIORAD-110</t>
  </si>
  <si>
    <t>PNF-BIORAD-163</t>
  </si>
  <si>
    <t>Bio-Rad Calibrant Template</t>
  </si>
  <si>
    <t>PNF-BIORAD-181</t>
  </si>
  <si>
    <t>Single Shot Formulation Template</t>
  </si>
  <si>
    <t>PNF-NAT-123</t>
  </si>
  <si>
    <t>Natera Adapter Mix Template</t>
  </si>
  <si>
    <t>PNF-NAT-124</t>
  </si>
  <si>
    <t>Natera Lib-Amp Mix Template</t>
  </si>
  <si>
    <t>PNF-NAT-148</t>
  </si>
  <si>
    <t>Natera Generic Adapter Template</t>
  </si>
  <si>
    <t>PNF-STEM-135</t>
  </si>
  <si>
    <t>Stemcell Master Mix Aliquot Flow</t>
  </si>
  <si>
    <t>Single</t>
  </si>
  <si>
    <t>Mix</t>
  </si>
  <si>
    <t>Duplex</t>
  </si>
  <si>
    <t>Shipping Conditions</t>
  </si>
  <si>
    <t>Dry</t>
  </si>
  <si>
    <t>Wet</t>
  </si>
  <si>
    <t>Ambient</t>
  </si>
  <si>
    <t>Dry Ice</t>
  </si>
  <si>
    <t>No</t>
  </si>
  <si>
    <t>Yes</t>
  </si>
  <si>
    <t>Yes - Cary</t>
  </si>
  <si>
    <t>Standard</t>
  </si>
  <si>
    <t>Custom</t>
  </si>
  <si>
    <t>Spec Sheets</t>
  </si>
  <si>
    <t>Average oligos per mix</t>
  </si>
  <si>
    <t>ESI</t>
  </si>
  <si>
    <t>CE</t>
  </si>
  <si>
    <t>RP-HPLC</t>
  </si>
  <si>
    <t>RNase/DNase</t>
  </si>
  <si>
    <t>QC Traces</t>
  </si>
  <si>
    <t>None</t>
  </si>
  <si>
    <t>&gt;100 Aliquots</t>
  </si>
  <si>
    <t>Bullet Box</t>
  </si>
  <si>
    <t>Individually Bagged</t>
  </si>
  <si>
    <t>Foil Bags</t>
  </si>
  <si>
    <t>single oligo(s)</t>
  </si>
  <si>
    <t>mix(es)</t>
  </si>
  <si>
    <t>duplex(es)</t>
  </si>
  <si>
    <t>dry, ambient</t>
  </si>
  <si>
    <t>dry, dry ice</t>
  </si>
  <si>
    <t>wet, ambient</t>
  </si>
  <si>
    <t>wet, dry ice</t>
  </si>
  <si>
    <t>Formulation Hours Calculator</t>
  </si>
  <si>
    <t>Formulation Type 2 (optional)</t>
  </si>
  <si>
    <t>Multiple or Other</t>
  </si>
  <si>
    <t>Cap</t>
  </si>
  <si>
    <t>Traces</t>
  </si>
  <si>
    <t>Form file</t>
  </si>
  <si>
    <t>Norm/Form</t>
  </si>
  <si>
    <t>Ship Partial</t>
  </si>
  <si>
    <t>Individually Bagged w/ SAP Label</t>
  </si>
  <si>
    <t>Formulation file</t>
  </si>
  <si>
    <t>Place order in your name</t>
  </si>
  <si>
    <t>Check SAP, get backstock</t>
  </si>
  <si>
    <t>Varies by</t>
  </si>
  <si>
    <t>Organize oligos</t>
  </si>
  <si>
    <t>set up form file</t>
  </si>
  <si>
    <t>Ref#</t>
  </si>
  <si>
    <t>Form type</t>
  </si>
  <si>
    <t>comp/ref</t>
  </si>
  <si>
    <t>Column Time</t>
  </si>
  <si>
    <t>Post Form Peer</t>
  </si>
  <si>
    <t>pre form review (self)</t>
  </si>
  <si>
    <t>Hydrate oligos</t>
  </si>
  <si>
    <t>pre form review (peer)</t>
  </si>
  <si>
    <t>Vortex</t>
  </si>
  <si>
    <t>Create top level Ref</t>
  </si>
  <si>
    <t>Heat block</t>
  </si>
  <si>
    <t>Transfer oligo (bulks)</t>
  </si>
  <si>
    <t>Bio-Rad transfers, account for transfer time in BECC calculation</t>
  </si>
  <si>
    <t>Grav testing  (mix)</t>
  </si>
  <si>
    <t xml:space="preserve">BECC </t>
  </si>
  <si>
    <t>Label bulks</t>
  </si>
  <si>
    <t>Labe laliquot</t>
  </si>
  <si>
    <t>aliquots</t>
  </si>
  <si>
    <t>create aliquots</t>
  </si>
  <si>
    <t>Grav testing (bulk) pre post</t>
  </si>
  <si>
    <t xml:space="preserve">Cap </t>
  </si>
  <si>
    <t>Print labels</t>
  </si>
  <si>
    <t>Non-synth</t>
  </si>
  <si>
    <t>Label tubes</t>
  </si>
  <si>
    <t xml:space="preserve">Grav testing </t>
  </si>
  <si>
    <t>HQC QC</t>
  </si>
  <si>
    <t>Dry down</t>
  </si>
  <si>
    <t># of source tubes</t>
  </si>
  <si>
    <t>Hand OD bulk w/aliquots</t>
  </si>
  <si>
    <t>Dnase/Rnase Testing</t>
  </si>
  <si>
    <t>oligo packaging</t>
  </si>
  <si>
    <t>Spec Sheet</t>
  </si>
  <si>
    <t>Print time</t>
  </si>
  <si>
    <t>Manager Review</t>
  </si>
  <si>
    <t>Outgoing Packaging</t>
  </si>
  <si>
    <t>Print/organize Traces</t>
  </si>
  <si>
    <t>Ref#'s</t>
  </si>
  <si>
    <t>Set amount of time added per typical number of tubes received at once</t>
  </si>
  <si>
    <t>CCM/Qiagen/BioRad?</t>
  </si>
  <si>
    <t>Single Oligo</t>
  </si>
  <si>
    <t>DNase/RNase Testing</t>
  </si>
  <si>
    <t>Multiple incl. RNase/DNase</t>
  </si>
  <si>
    <t>Time (minutes)</t>
  </si>
  <si>
    <t>CCM/Qiagen/Bio-Rad</t>
  </si>
  <si>
    <t>Custom time</t>
  </si>
  <si>
    <t>Individually Bagged (per aliquot)</t>
  </si>
  <si>
    <t>Bagged w/ SAP label (per aliquot)</t>
  </si>
  <si>
    <t>Foil Bags (per aliquot)</t>
  </si>
  <si>
    <t>Label aliquot  (per rack)</t>
  </si>
  <si>
    <t>create aliquots (per rack)</t>
  </si>
  <si>
    <t>Cap (per rack)</t>
  </si>
  <si>
    <t>Grav testing (bulk) pre post (per ref)</t>
  </si>
  <si>
    <t>Organize oligos  (per rack)</t>
  </si>
  <si>
    <t>Hydrate oligos (per ref)</t>
  </si>
  <si>
    <t>Vortex (per ref)</t>
  </si>
  <si>
    <t>Total Aliquots</t>
  </si>
  <si>
    <t>CCM</t>
  </si>
  <si>
    <t>Qiagen</t>
  </si>
  <si>
    <t>Bio-Rad</t>
  </si>
  <si>
    <t>BECC Labels</t>
  </si>
  <si>
    <t>BECC Spec Sheet</t>
  </si>
  <si>
    <t>&gt;100 (per rack)</t>
  </si>
  <si>
    <t>Bullet Box (per box)</t>
  </si>
  <si>
    <t>Added time for qiagen</t>
  </si>
  <si>
    <t>Added time for Bio-Rad</t>
  </si>
  <si>
    <t>Manager Review (base)</t>
  </si>
  <si>
    <t>Manager Review added per ref</t>
  </si>
  <si>
    <t>Post Form and norm/form</t>
  </si>
  <si>
    <t>{Select}</t>
  </si>
  <si>
    <t># of Refs shipping</t>
  </si>
  <si>
    <t>Hand OD/ chip</t>
  </si>
  <si>
    <t>Cary Hand OD / ref</t>
  </si>
  <si>
    <t>Print/organize multiple / ref</t>
  </si>
  <si>
    <t>HQC QC base</t>
  </si>
  <si>
    <t>HQC QC / ref</t>
  </si>
  <si>
    <t>Preform (wet takes longer)</t>
  </si>
  <si>
    <t>FormType</t>
  </si>
  <si>
    <t>FormType1</t>
  </si>
  <si>
    <t>NonSynthTime</t>
  </si>
  <si>
    <t>HandODTime</t>
  </si>
  <si>
    <t>LabelTime</t>
  </si>
  <si>
    <t>SpecSheetTime</t>
  </si>
  <si>
    <t>TracesTime</t>
  </si>
  <si>
    <t>SpecialPack</t>
  </si>
  <si>
    <t>ShipPartial</t>
  </si>
  <si>
    <t>AdapterReview</t>
  </si>
  <si>
    <t>ManagerReview</t>
  </si>
  <si>
    <t>Process Time (min)</t>
  </si>
  <si>
    <t>Cumulative Time (min)</t>
  </si>
  <si>
    <t>FormulatePartial</t>
  </si>
  <si>
    <t># of formulation events</t>
  </si>
  <si>
    <t>Formulation Summary:</t>
  </si>
  <si>
    <t>Order Summary: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</si>
</sst>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i/>
      <sz val="11"/>
      <color theme="1"/>
      <name val="Calibri"/>
      <family val="2"/>
      <scheme val="minor"/>
    </font>
    <font>
      <sz val="18"/>
      <color theme="4" tint="-0.499984740745262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theme="0" tint="-0.249977111117893"/>
      </left>
      <right/>
      <top/>
      <bottom/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2" borderId="0" xfId="1" applyFont="1" applyBorder="1" applyAlignment="1">
      <alignment vertical="center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>
      <alignment wrapText="1"/>
    </xf>
    <xf numFmtId="0" fontId="0" fillId="0" borderId="0" xfId="0" applyBorder="1" applyProtection="1">
      <protection locked="0"/>
    </xf>
    <xf numFmtId="0" fontId="2" fillId="4" borderId="0" xfId="3" applyFont="1" applyBorder="1" applyAlignment="1">
      <alignment vertical="center"/>
    </xf>
    <xf numFmtId="0" fontId="4" fillId="0" borderId="0" xfId="0" applyFon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6" fillId="0" borderId="0" xfId="0" applyFont="1"/>
    <xf numFmtId="0" fontId="7" fillId="0" borderId="0" xfId="0" applyFont="1"/>
    <xf numFmtId="0" fontId="0" fillId="0" borderId="0" xfId="0"/>
    <xf numFmtId="0" fontId="0" fillId="0" borderId="0" xfId="0"/>
    <xf numFmtId="2" fontId="0" fillId="0" borderId="0" xfId="0" applyNumberFormat="1"/>
    <xf numFmtId="0" fontId="2" fillId="4" borderId="0" xfId="3" applyFont="1" applyBorder="1" applyAlignment="1" applyProtection="1">
      <alignment vertical="center"/>
    </xf>
    <xf numFmtId="0" fontId="2" fillId="2" borderId="0" xfId="1" applyFont="1" applyBorder="1" applyAlignment="1" applyProtection="1">
      <alignment vertical="center"/>
    </xf>
    <xf numFmtId="1" fontId="1" fillId="3" borderId="0" xfId="2" applyNumberFormat="1" applyBorder="1" applyAlignment="1" applyProtection="1">
      <alignment horizontal="center" wrapText="1"/>
      <protection locked="0"/>
    </xf>
    <xf numFmtId="1" fontId="1" fillId="5" borderId="0" xfId="4" applyNumberFormat="1" applyBorder="1" applyAlignment="1" applyProtection="1">
      <alignment horizontal="center" wrapText="1"/>
      <protection locked="0"/>
    </xf>
    <xf numFmtId="0" fontId="1" fillId="5" borderId="0" xfId="4" applyBorder="1" applyAlignment="1" applyProtection="1">
      <alignment horizontal="center" vertical="center" wrapText="1"/>
      <protection locked="0"/>
    </xf>
    <xf numFmtId="0" fontId="1" fillId="5" borderId="1" xfId="4" applyBorder="1" applyAlignment="1" applyProtection="1">
      <alignment horizontal="center" wrapText="1"/>
      <protection locked="0"/>
    </xf>
    <xf numFmtId="0" fontId="9" fillId="0" borderId="0" xfId="0" applyFont="1"/>
    <xf numFmtId="0" fontId="10" fillId="0" borderId="0" xfId="0" applyFont="1" applyAlignment="1">
      <alignment horizontal="center"/>
    </xf>
    <xf numFmtId="0" fontId="10" fillId="0" borderId="0" xfId="0" applyFont="1"/>
    <xf numFmtId="0" fontId="0" fillId="0" borderId="0" xfId="0" applyBorder="1"/>
    <xf numFmtId="0" fontId="1" fillId="5" borderId="0" xfId="4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</xf>
    <xf numFmtId="0" fontId="5" fillId="0" borderId="0" xfId="5" applyFont="1" applyAlignment="1">
      <alignment horizontal="center"/>
    </xf>
    <xf numFmtId="0" fontId="0" fillId="3" borderId="0" xfId="2" applyFont="1" applyBorder="1" applyAlignment="1" applyProtection="1">
      <alignment horizontal="center" vertical="center" wrapText="1"/>
      <protection locked="0"/>
    </xf>
    <xf numFmtId="0" fontId="1" fillId="3" borderId="0" xfId="2" applyBorder="1" applyAlignment="1" applyProtection="1">
      <alignment horizontal="center" vertical="center" wrapText="1"/>
      <protection locked="0"/>
    </xf>
    <xf numFmtId="0" fontId="1" fillId="5" borderId="0" xfId="4" applyBorder="1" applyAlignment="1" applyProtection="1">
      <alignment horizontal="center" wrapText="1"/>
      <protection locked="0"/>
    </xf>
    <xf numFmtId="0" fontId="1" fillId="3" borderId="0" xfId="2" applyBorder="1" applyAlignment="1" applyProtection="1">
      <alignment horizontal="center" wrapText="1"/>
      <protection locked="0"/>
    </xf>
    <xf numFmtId="0" fontId="2" fillId="0" borderId="0" xfId="0" applyFont="1" applyBorder="1" applyAlignment="1" applyProtection="1">
      <alignment vertical="center"/>
    </xf>
    <xf numFmtId="1" fontId="1" fillId="3" borderId="0" xfId="2" applyNumberFormat="1" applyBorder="1" applyAlignment="1" applyProtection="1">
      <alignment horizontal="center" vertical="center" wrapText="1"/>
      <protection locked="0"/>
    </xf>
  </cellXfs>
  <cellStyles count="6">
    <cellStyle name="20% - Accent1" xfId="3" builtinId="30"/>
    <cellStyle name="20% - Accent4" xfId="4" builtinId="42"/>
    <cellStyle name="40% - Accent1" xfId="1" builtinId="31"/>
    <cellStyle name="40% - Accent4" xfId="2" builtinId="43"/>
    <cellStyle name="Normal" xfId="0" builtinId="0"/>
    <cellStyle name="Title" xfId="5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34</xdr:row>
          <xdr:rowOff>28575</xdr:rowOff>
        </xdr:from>
        <xdr:to>
          <xdr:col>3</xdr:col>
          <xdr:colOff>1247775</xdr:colOff>
          <xdr:row>35</xdr:row>
          <xdr:rowOff>95250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Time Intervals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</xdr:row>
          <xdr:rowOff>85725</xdr:rowOff>
        </xdr:from>
        <xdr:to>
          <xdr:col>6</xdr:col>
          <xdr:colOff>209550</xdr:colOff>
          <xdr:row>4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Hours (if frozen)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3</xdr:row>
          <xdr:rowOff>152400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190500</xdr:rowOff>
        </xdr:from>
        <xdr:to>
          <xdr:col>5</xdr:col>
          <xdr:colOff>0</xdr:colOff>
          <xdr:row>5</xdr:row>
          <xdr:rowOff>142875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Common Setup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1064559</xdr:colOff>
      <xdr:row>22</xdr:row>
      <xdr:rowOff>56031</xdr:rowOff>
    </xdr:from>
    <xdr:to>
      <xdr:col>5</xdr:col>
      <xdr:colOff>313764</xdr:colOff>
      <xdr:row>23</xdr:row>
      <xdr:rowOff>156882</xdr:rowOff>
    </xdr:to>
    <xdr:pic macro="[0]!CopyFormSum">
      <xdr:nvPicPr>
        <xdr:cNvPr id="3" name="Graphic 2" descr="Clipboard - Copy Formulation Summary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395883" y="4896972"/>
          <a:ext cx="324969" cy="3249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S46"/>
  <sheetViews>
    <sheetView showGridLines="0" tabSelected="1" zoomScaleNormal="100" workbookViewId="0">
      <selection activeCell="AE13" sqref="AE13"/>
    </sheetView>
  </sheetViews>
  <sheetFormatPr defaultRowHeight="15" x14ac:dyDescent="0.25"/>
  <cols>
    <col min="1" max="1" width="25.7109375" customWidth="1"/>
    <col min="2" max="2" width="27.85546875" bestFit="1" customWidth="1"/>
    <col min="3" max="4" width="20.7109375" customWidth="1"/>
    <col min="5" max="5" width="16.140625" bestFit="1" customWidth="1"/>
    <col min="6" max="6" width="13.42578125" bestFit="1" customWidth="1"/>
    <col min="7" max="7" width="6.7109375" customWidth="1"/>
    <col min="12" max="12" width="33.5703125" hidden="1" customWidth="1"/>
    <col min="13" max="14" width="9.140625" hidden="1" customWidth="1"/>
    <col min="15" max="15" width="23.42578125" hidden="1" customWidth="1"/>
    <col min="16" max="17" width="9.140625" hidden="1" customWidth="1"/>
    <col min="18" max="18" width="31.28515625" hidden="1" customWidth="1"/>
    <col min="19" max="19" width="9.140625" hidden="1" customWidth="1"/>
    <col min="20" max="20" width="0" hidden="1" customWidth="1"/>
  </cols>
  <sheetData>
    <row r="2" spans="2:19" ht="23.25" x14ac:dyDescent="0.35">
      <c r="B2" s="30" t="s">
        <v>101</v>
      </c>
      <c r="C2" s="30"/>
      <c r="D2" s="30"/>
      <c r="L2" s="12"/>
      <c r="M2" s="12" t="s">
        <v>158</v>
      </c>
      <c r="N2" s="12"/>
      <c r="O2" s="12"/>
      <c r="P2" s="12" t="s">
        <v>158</v>
      </c>
      <c r="Q2" s="12"/>
      <c r="R2" s="12"/>
      <c r="S2" s="12" t="s">
        <v>158</v>
      </c>
    </row>
    <row r="3" spans="2:19" x14ac:dyDescent="0.25">
      <c r="L3" s="1" t="s">
        <v>155</v>
      </c>
      <c r="M3" s="12"/>
      <c r="N3" s="12"/>
      <c r="O3" s="1" t="s">
        <v>71</v>
      </c>
      <c r="P3" s="12"/>
      <c r="Q3" s="12"/>
      <c r="R3" s="1" t="s">
        <v>70</v>
      </c>
      <c r="S3" s="12"/>
    </row>
    <row r="4" spans="2:19" ht="15.75" x14ac:dyDescent="0.25">
      <c r="B4" s="26" t="s">
        <v>208</v>
      </c>
      <c r="C4" s="24" t="s">
        <v>0</v>
      </c>
      <c r="D4" s="25">
        <f>Hours()</f>
        <v>1</v>
      </c>
      <c r="E4" s="9"/>
      <c r="L4" s="12" t="s">
        <v>168</v>
      </c>
      <c r="M4" s="12">
        <v>15</v>
      </c>
      <c r="N4" s="12"/>
      <c r="O4" s="12" t="s">
        <v>114</v>
      </c>
      <c r="P4" s="12">
        <f>M4</f>
        <v>15</v>
      </c>
      <c r="Q4" s="12"/>
      <c r="R4" s="12" t="s">
        <v>114</v>
      </c>
      <c r="S4" s="12">
        <f>P4</f>
        <v>15</v>
      </c>
    </row>
    <row r="5" spans="2:19" x14ac:dyDescent="0.25">
      <c r="B5" s="16"/>
      <c r="C5" s="8"/>
      <c r="D5" s="3"/>
      <c r="E5" s="9"/>
      <c r="L5" s="12" t="s">
        <v>106</v>
      </c>
      <c r="M5" s="12">
        <v>5</v>
      </c>
      <c r="N5" s="12"/>
      <c r="O5" s="12" t="s">
        <v>106</v>
      </c>
      <c r="P5" s="12">
        <v>6</v>
      </c>
      <c r="Q5" s="12"/>
      <c r="R5" s="12" t="s">
        <v>106</v>
      </c>
      <c r="S5" s="12">
        <v>6</v>
      </c>
    </row>
    <row r="6" spans="2:19" x14ac:dyDescent="0.25">
      <c r="L6" s="14" t="s">
        <v>169</v>
      </c>
      <c r="M6" s="12">
        <v>0.25</v>
      </c>
      <c r="N6" s="12"/>
      <c r="O6" s="14" t="s">
        <v>122</v>
      </c>
      <c r="P6" s="12">
        <f>M6</f>
        <v>0.25</v>
      </c>
      <c r="Q6" s="12"/>
      <c r="R6" s="14" t="s">
        <v>122</v>
      </c>
      <c r="S6" s="12">
        <f>M6</f>
        <v>0.25</v>
      </c>
    </row>
    <row r="7" spans="2:19" ht="18" customHeight="1" x14ac:dyDescent="0.25">
      <c r="B7" s="18" t="s">
        <v>1</v>
      </c>
      <c r="C7" s="28" t="s">
        <v>34</v>
      </c>
      <c r="D7" s="28"/>
      <c r="L7" s="14" t="s">
        <v>170</v>
      </c>
      <c r="M7" s="12">
        <f>0.33/2</f>
        <v>0.16500000000000001</v>
      </c>
      <c r="N7" s="12"/>
      <c r="O7" s="14" t="s">
        <v>124</v>
      </c>
      <c r="P7" s="12">
        <f>M7</f>
        <v>0.16500000000000001</v>
      </c>
      <c r="Q7" s="12"/>
      <c r="R7" s="14" t="s">
        <v>124</v>
      </c>
      <c r="S7" s="12">
        <f>M7</f>
        <v>0.16500000000000001</v>
      </c>
    </row>
    <row r="8" spans="2:19" ht="18" customHeight="1" x14ac:dyDescent="0.25">
      <c r="B8" s="19" t="s">
        <v>2</v>
      </c>
      <c r="C8" s="32" t="s">
        <v>184</v>
      </c>
      <c r="D8" s="32"/>
      <c r="L8" s="12" t="s">
        <v>127</v>
      </c>
      <c r="M8" s="12">
        <v>0.15</v>
      </c>
      <c r="N8" s="12"/>
      <c r="O8" s="12" t="s">
        <v>125</v>
      </c>
      <c r="P8" s="12">
        <v>0.3</v>
      </c>
      <c r="Q8" s="12"/>
      <c r="R8" s="12" t="s">
        <v>125</v>
      </c>
      <c r="S8" s="12">
        <v>5</v>
      </c>
    </row>
    <row r="9" spans="2:19" ht="18" customHeight="1" x14ac:dyDescent="0.25">
      <c r="B9" s="19" t="s">
        <v>185</v>
      </c>
      <c r="C9" s="20"/>
      <c r="D9" s="2" t="s">
        <v>83</v>
      </c>
      <c r="E9" s="20"/>
      <c r="F9" s="2" t="s">
        <v>171</v>
      </c>
      <c r="G9" s="20"/>
      <c r="L9" s="12" t="s">
        <v>183</v>
      </c>
      <c r="M9" s="12">
        <v>5</v>
      </c>
      <c r="N9" s="12"/>
      <c r="O9" s="12" t="s">
        <v>127</v>
      </c>
      <c r="P9" s="12">
        <f>M8</f>
        <v>0.15</v>
      </c>
      <c r="Q9" s="12"/>
      <c r="R9" s="12" t="s">
        <v>127</v>
      </c>
      <c r="S9" s="12">
        <f>M8</f>
        <v>0.15</v>
      </c>
    </row>
    <row r="10" spans="2:19" ht="18" customHeight="1" x14ac:dyDescent="0.25">
      <c r="B10" s="18" t="s">
        <v>102</v>
      </c>
      <c r="C10" s="28"/>
      <c r="D10" s="28"/>
      <c r="L10" s="12"/>
      <c r="M10" s="12"/>
      <c r="N10" s="12"/>
      <c r="O10" s="12" t="s">
        <v>183</v>
      </c>
      <c r="P10" s="12">
        <v>5</v>
      </c>
      <c r="Q10" s="12"/>
      <c r="R10" s="16" t="s">
        <v>183</v>
      </c>
      <c r="S10" s="12">
        <v>5</v>
      </c>
    </row>
    <row r="11" spans="2:19" ht="18" customHeight="1" x14ac:dyDescent="0.25">
      <c r="B11" s="18" t="s">
        <v>185</v>
      </c>
      <c r="C11" s="21"/>
      <c r="D11" s="7" t="s">
        <v>83</v>
      </c>
      <c r="E11" s="21"/>
      <c r="F11" s="7" t="s">
        <v>171</v>
      </c>
      <c r="G11" s="21"/>
      <c r="L11" s="12"/>
      <c r="M11" s="12"/>
      <c r="N11" s="12"/>
      <c r="O11" s="12"/>
      <c r="P11" s="12"/>
      <c r="Q11" s="12"/>
      <c r="R11" s="12"/>
      <c r="S11" s="12"/>
    </row>
    <row r="12" spans="2:19" ht="18" customHeight="1" x14ac:dyDescent="0.25">
      <c r="B12" s="19" t="s">
        <v>3</v>
      </c>
      <c r="C12" s="36">
        <v>0</v>
      </c>
      <c r="D12" s="36"/>
      <c r="L12" s="12"/>
      <c r="M12" s="12"/>
      <c r="N12" s="12"/>
      <c r="O12" s="12"/>
      <c r="P12" s="12"/>
      <c r="Q12" s="12"/>
      <c r="R12" s="12"/>
      <c r="S12" s="12"/>
    </row>
    <row r="13" spans="2:19" ht="18" customHeight="1" x14ac:dyDescent="0.25">
      <c r="B13" s="18" t="s">
        <v>4</v>
      </c>
      <c r="C13" s="22" t="s">
        <v>184</v>
      </c>
      <c r="D13" s="23" t="s">
        <v>184</v>
      </c>
      <c r="L13" s="1" t="s">
        <v>6</v>
      </c>
      <c r="M13" s="12"/>
      <c r="N13" s="12"/>
      <c r="O13" s="1" t="s">
        <v>138</v>
      </c>
      <c r="P13" s="12"/>
      <c r="Q13" s="12"/>
      <c r="R13" s="1" t="s">
        <v>72</v>
      </c>
      <c r="S13" s="12"/>
    </row>
    <row r="14" spans="2:19" ht="18" customHeight="1" x14ac:dyDescent="0.25">
      <c r="B14" s="19" t="s">
        <v>7</v>
      </c>
      <c r="C14" s="31" t="s">
        <v>184</v>
      </c>
      <c r="D14" s="32"/>
      <c r="L14" s="12" t="s">
        <v>164</v>
      </c>
      <c r="M14" s="12">
        <v>15</v>
      </c>
      <c r="N14" s="12"/>
      <c r="O14" s="12" t="s">
        <v>112</v>
      </c>
      <c r="P14" s="12">
        <v>10</v>
      </c>
      <c r="Q14" s="12"/>
      <c r="R14" s="12" t="s">
        <v>142</v>
      </c>
      <c r="S14" s="12">
        <v>5</v>
      </c>
    </row>
    <row r="15" spans="2:19" ht="18" customHeight="1" x14ac:dyDescent="0.25">
      <c r="B15" s="18" t="s">
        <v>8</v>
      </c>
      <c r="C15" s="33" t="s">
        <v>184</v>
      </c>
      <c r="D15" s="33"/>
      <c r="L15" s="12" t="s">
        <v>165</v>
      </c>
      <c r="M15" s="12">
        <v>3</v>
      </c>
      <c r="N15" s="12"/>
      <c r="O15" s="12" t="s">
        <v>119</v>
      </c>
      <c r="P15" s="12">
        <v>0.5</v>
      </c>
      <c r="Q15" s="12"/>
      <c r="R15" s="12" t="s">
        <v>191</v>
      </c>
      <c r="S15" s="12">
        <v>2</v>
      </c>
    </row>
    <row r="16" spans="2:19" ht="18" customHeight="1" x14ac:dyDescent="0.25">
      <c r="B16" s="19" t="s">
        <v>9</v>
      </c>
      <c r="C16" s="32" t="s">
        <v>184</v>
      </c>
      <c r="D16" s="32"/>
      <c r="H16" s="27"/>
      <c r="I16" s="27"/>
      <c r="L16" s="12" t="s">
        <v>167</v>
      </c>
      <c r="M16" s="12">
        <v>2</v>
      </c>
      <c r="N16" s="12"/>
      <c r="O16" s="12"/>
      <c r="P16" s="12"/>
      <c r="Q16" s="12"/>
      <c r="R16" s="12"/>
      <c r="S16" s="12"/>
    </row>
    <row r="17" spans="1:19" ht="18" customHeight="1" x14ac:dyDescent="0.25">
      <c r="B17" s="18" t="s">
        <v>10</v>
      </c>
      <c r="C17" s="33" t="s">
        <v>184</v>
      </c>
      <c r="D17" s="33"/>
      <c r="H17" s="27"/>
      <c r="I17" s="27"/>
      <c r="L17" s="12" t="s">
        <v>166</v>
      </c>
      <c r="M17" s="12">
        <v>5</v>
      </c>
      <c r="N17" s="12"/>
      <c r="O17" s="12"/>
      <c r="P17" s="12"/>
      <c r="Q17" s="12"/>
      <c r="R17" s="12"/>
      <c r="S17" s="12"/>
    </row>
    <row r="18" spans="1:19" ht="18" customHeight="1" x14ac:dyDescent="0.25">
      <c r="B18" s="19" t="s">
        <v>159</v>
      </c>
      <c r="C18" s="34" t="s">
        <v>184</v>
      </c>
      <c r="D18" s="34"/>
      <c r="G18" s="27"/>
      <c r="H18" s="27"/>
      <c r="I18" s="27"/>
      <c r="L18" s="12"/>
      <c r="M18" s="12"/>
      <c r="N18" s="12"/>
      <c r="O18" s="12"/>
      <c r="P18" s="12"/>
      <c r="Q18" s="12"/>
      <c r="R18" s="12"/>
      <c r="S18" s="12"/>
    </row>
    <row r="19" spans="1:19" ht="18" customHeight="1" x14ac:dyDescent="0.25">
      <c r="B19" s="18" t="s">
        <v>88</v>
      </c>
      <c r="C19" s="28" t="s">
        <v>184</v>
      </c>
      <c r="D19" s="28"/>
      <c r="G19" s="27"/>
      <c r="H19" s="27"/>
      <c r="I19" s="27"/>
      <c r="L19" s="1" t="s">
        <v>7</v>
      </c>
      <c r="M19" s="12"/>
      <c r="N19" s="12"/>
      <c r="O19" s="1" t="s">
        <v>8</v>
      </c>
      <c r="P19" s="12"/>
      <c r="Q19" s="12"/>
      <c r="R19" s="1" t="s">
        <v>9</v>
      </c>
      <c r="S19" s="12"/>
    </row>
    <row r="20" spans="1:19" ht="18" customHeight="1" x14ac:dyDescent="0.25">
      <c r="B20" s="19" t="s">
        <v>11</v>
      </c>
      <c r="C20" s="32" t="s">
        <v>184</v>
      </c>
      <c r="D20" s="32"/>
      <c r="G20" s="27"/>
      <c r="H20" s="27"/>
      <c r="I20" s="27"/>
      <c r="L20" s="12" t="s">
        <v>115</v>
      </c>
      <c r="M20" s="12">
        <v>6</v>
      </c>
      <c r="N20" s="12"/>
      <c r="O20" s="12" t="s">
        <v>175</v>
      </c>
      <c r="P20" s="12">
        <v>2</v>
      </c>
      <c r="Q20" s="12"/>
      <c r="R20" s="12" t="s">
        <v>148</v>
      </c>
      <c r="S20" s="12">
        <v>0.2</v>
      </c>
    </row>
    <row r="21" spans="1:19" ht="18" customHeight="1" x14ac:dyDescent="0.25">
      <c r="B21" s="18" t="s">
        <v>108</v>
      </c>
      <c r="C21" s="28" t="s">
        <v>184</v>
      </c>
      <c r="D21" s="28"/>
      <c r="G21" s="27"/>
      <c r="H21" s="27"/>
      <c r="I21" s="27"/>
      <c r="L21" s="12" t="s">
        <v>186</v>
      </c>
      <c r="M21" s="12">
        <v>5</v>
      </c>
      <c r="N21" s="12"/>
      <c r="O21" s="12" t="s">
        <v>176</v>
      </c>
      <c r="P21" s="12">
        <v>2</v>
      </c>
      <c r="Q21" s="12"/>
      <c r="R21" s="12" t="s">
        <v>160</v>
      </c>
      <c r="S21" s="12">
        <v>1</v>
      </c>
    </row>
    <row r="22" spans="1:19" ht="18" customHeight="1" x14ac:dyDescent="0.25">
      <c r="B22" s="19" t="s">
        <v>12</v>
      </c>
      <c r="C22" s="32" t="s">
        <v>184</v>
      </c>
      <c r="D22" s="32"/>
      <c r="G22" s="27"/>
      <c r="H22" s="27"/>
      <c r="I22" s="27"/>
      <c r="L22" s="12" t="s">
        <v>144</v>
      </c>
      <c r="M22" s="12">
        <v>1</v>
      </c>
      <c r="N22" s="12"/>
      <c r="O22" s="12"/>
      <c r="P22" s="12"/>
      <c r="Q22" s="12"/>
      <c r="R22" s="12"/>
      <c r="S22" s="12"/>
    </row>
    <row r="23" spans="1:19" s="12" customFormat="1" ht="18" customHeight="1" x14ac:dyDescent="0.25">
      <c r="A23"/>
      <c r="B23" s="35" t="s">
        <v>207</v>
      </c>
      <c r="C23" s="29" t="str">
        <f>CONCATENATE(C9, " ",IF(C8="Single",B28,IF(C8="Mix",B29, IF(C8="Duplex", B30, ""))), IF(C11&gt;0, " ", ""), C11, IF(C11&gt;0, " ", ""),IF(C10="Single",B28,IF(C10="Mix",B29, IF(C10="Duplex", B30, ""))), IF(C12&gt;0, " from inventory", ""), IF(C15="Yes", " BECC", IF(OR(C14="Yes",C14= "Yes - Cary"), " with Hand OD", "")), IF(G9&gt;0, CONCATENATE("; total ", SUM(G9,G11), " aliquots"), ""), IF(OR(C13="Dry", C13="Wet")," shipping ", ""), IF(C13="Dry", IF(D13="Ambient", C28, IF(D13="Dry Ice", C29, "")), IF(D13="Ambient", IF(C13="Wet", C30, ""), IF(C13="Wet", IF(D13="Dry Ice", C31, ""), ""))), IF(C22="Yes", "; ADAPTER", ""), IF(C21="Yes", " ship partial",""))</f>
        <v xml:space="preserve"> </v>
      </c>
      <c r="D23" s="29"/>
      <c r="E23" s="29"/>
      <c r="F23" s="6"/>
      <c r="G23" s="27"/>
      <c r="H23" s="27"/>
      <c r="I23" s="27"/>
      <c r="L23" t="s">
        <v>187</v>
      </c>
      <c r="M23">
        <v>3</v>
      </c>
    </row>
    <row r="24" spans="1:19" ht="18" customHeight="1" x14ac:dyDescent="0.25">
      <c r="B24" s="35"/>
      <c r="C24" s="29"/>
      <c r="D24" s="29"/>
      <c r="E24" s="29"/>
      <c r="F24" s="6"/>
      <c r="G24" s="27"/>
      <c r="H24" s="27"/>
      <c r="I24" s="27"/>
      <c r="N24" s="12"/>
      <c r="O24" s="12"/>
      <c r="P24" s="12"/>
      <c r="Q24" s="12"/>
      <c r="R24" s="12"/>
      <c r="S24" s="12"/>
    </row>
    <row r="25" spans="1:19" ht="18" customHeight="1" x14ac:dyDescent="0.25">
      <c r="A25" s="4"/>
      <c r="B25" s="4"/>
      <c r="C25" s="4"/>
      <c r="D25" s="4"/>
      <c r="E25" s="4"/>
      <c r="F25" s="4"/>
      <c r="G25" s="4"/>
      <c r="H25" s="4"/>
      <c r="I25" s="4"/>
      <c r="L25" s="12"/>
      <c r="M25" s="12"/>
      <c r="N25" s="12"/>
      <c r="O25" s="12"/>
      <c r="P25" s="12"/>
      <c r="Q25" s="12"/>
      <c r="R25" s="12"/>
      <c r="S25" s="12"/>
    </row>
    <row r="26" spans="1:19" s="4" customFormat="1" ht="15" hidden="1" customHeight="1" x14ac:dyDescent="0.25">
      <c r="A26"/>
      <c r="B26"/>
      <c r="C26"/>
      <c r="D26"/>
      <c r="E26"/>
      <c r="F26"/>
      <c r="G26"/>
      <c r="H26"/>
      <c r="I26"/>
      <c r="L26" s="1" t="s">
        <v>82</v>
      </c>
      <c r="M26" s="12"/>
      <c r="N26" s="12"/>
      <c r="O26" s="1" t="s">
        <v>88</v>
      </c>
      <c r="P26" s="12"/>
      <c r="Q26" s="12"/>
      <c r="R26" s="1" t="s">
        <v>11</v>
      </c>
      <c r="S26" s="12"/>
    </row>
    <row r="27" spans="1:19" hidden="1" x14ac:dyDescent="0.25">
      <c r="C27" s="5"/>
      <c r="L27" s="12" t="s">
        <v>148</v>
      </c>
      <c r="M27" s="12">
        <v>0.2</v>
      </c>
      <c r="N27" s="12"/>
      <c r="O27" s="12" t="s">
        <v>156</v>
      </c>
      <c r="P27" s="12">
        <v>60</v>
      </c>
      <c r="Q27" s="12"/>
      <c r="R27" s="12" t="s">
        <v>177</v>
      </c>
      <c r="S27" s="12">
        <v>2</v>
      </c>
    </row>
    <row r="28" spans="1:19" hidden="1" x14ac:dyDescent="0.25">
      <c r="B28" t="s">
        <v>94</v>
      </c>
      <c r="C28" t="s">
        <v>97</v>
      </c>
      <c r="L28" s="12" t="s">
        <v>160</v>
      </c>
      <c r="M28" s="12">
        <v>1.5</v>
      </c>
      <c r="N28" s="12"/>
      <c r="O28" s="12" t="s">
        <v>151</v>
      </c>
      <c r="P28" s="12">
        <v>2</v>
      </c>
      <c r="Q28" s="12"/>
      <c r="R28" t="s">
        <v>178</v>
      </c>
      <c r="S28">
        <v>2</v>
      </c>
    </row>
    <row r="29" spans="1:19" hidden="1" x14ac:dyDescent="0.25">
      <c r="B29" t="s">
        <v>95</v>
      </c>
      <c r="C29" t="s">
        <v>98</v>
      </c>
      <c r="L29" s="12"/>
      <c r="M29" s="12"/>
      <c r="N29" s="12"/>
      <c r="O29" s="12" t="s">
        <v>188</v>
      </c>
      <c r="P29" s="12">
        <v>0.5</v>
      </c>
      <c r="Q29" s="12"/>
      <c r="R29" t="s">
        <v>161</v>
      </c>
      <c r="S29">
        <v>0.2</v>
      </c>
    </row>
    <row r="30" spans="1:19" hidden="1" x14ac:dyDescent="0.25">
      <c r="B30" t="s">
        <v>96</v>
      </c>
      <c r="C30" t="s">
        <v>99</v>
      </c>
      <c r="R30" t="s">
        <v>162</v>
      </c>
      <c r="S30">
        <v>0.8</v>
      </c>
    </row>
    <row r="31" spans="1:19" hidden="1" x14ac:dyDescent="0.25">
      <c r="C31" t="s">
        <v>100</v>
      </c>
      <c r="R31" t="s">
        <v>163</v>
      </c>
      <c r="S31">
        <v>1</v>
      </c>
    </row>
    <row r="32" spans="1:19" hidden="1" x14ac:dyDescent="0.25">
      <c r="R32" s="12" t="s">
        <v>150</v>
      </c>
      <c r="S32" s="12">
        <v>3</v>
      </c>
    </row>
    <row r="33" spans="1:19" hidden="1" x14ac:dyDescent="0.25"/>
    <row r="34" spans="1:19" hidden="1" x14ac:dyDescent="0.25">
      <c r="B34" t="s">
        <v>203</v>
      </c>
      <c r="C34" t="s">
        <v>204</v>
      </c>
      <c r="L34" s="1" t="s">
        <v>108</v>
      </c>
      <c r="M34" s="12"/>
      <c r="N34" s="12"/>
      <c r="O34" s="1" t="s">
        <v>12</v>
      </c>
      <c r="P34" s="12"/>
      <c r="Q34" s="12"/>
      <c r="R34" s="1" t="s">
        <v>154</v>
      </c>
      <c r="S34" s="12"/>
    </row>
    <row r="35" spans="1:19" hidden="1" x14ac:dyDescent="0.25">
      <c r="A35" t="s">
        <v>192</v>
      </c>
      <c r="B35" s="17">
        <f>C35</f>
        <v>117.47958333333334</v>
      </c>
      <c r="C35" s="17">
        <v>117.47958333333334</v>
      </c>
      <c r="L35" s="12" t="s">
        <v>206</v>
      </c>
      <c r="M35" s="12">
        <v>3</v>
      </c>
      <c r="N35" s="12"/>
      <c r="O35" s="12" t="s">
        <v>189</v>
      </c>
      <c r="P35" s="12">
        <v>3</v>
      </c>
      <c r="Q35" s="12"/>
      <c r="R35" s="12" t="s">
        <v>181</v>
      </c>
      <c r="S35" s="12">
        <v>20</v>
      </c>
    </row>
    <row r="36" spans="1:19" hidden="1" x14ac:dyDescent="0.25">
      <c r="A36" t="s">
        <v>193</v>
      </c>
      <c r="B36" s="17">
        <f>C36-C35</f>
        <v>0</v>
      </c>
      <c r="C36" s="17">
        <v>117.47958333333334</v>
      </c>
      <c r="N36" s="12"/>
      <c r="O36" s="12" t="s">
        <v>190</v>
      </c>
      <c r="P36" s="12">
        <v>0.2</v>
      </c>
      <c r="Q36" s="12"/>
      <c r="R36" t="s">
        <v>182</v>
      </c>
      <c r="S36">
        <v>0.3</v>
      </c>
    </row>
    <row r="37" spans="1:19" hidden="1" x14ac:dyDescent="0.25">
      <c r="A37" t="s">
        <v>194</v>
      </c>
      <c r="B37" s="17">
        <f t="shared" ref="B37:B46" si="0">C37-C36</f>
        <v>0</v>
      </c>
      <c r="C37" s="17">
        <v>117.47958333333334</v>
      </c>
      <c r="R37" s="12" t="s">
        <v>179</v>
      </c>
      <c r="S37" s="12">
        <v>0</v>
      </c>
    </row>
    <row r="38" spans="1:19" hidden="1" x14ac:dyDescent="0.25">
      <c r="A38" t="s">
        <v>195</v>
      </c>
      <c r="B38" s="17">
        <f t="shared" si="0"/>
        <v>0</v>
      </c>
      <c r="C38" s="17">
        <v>117.47958333333334</v>
      </c>
      <c r="R38" t="s">
        <v>180</v>
      </c>
      <c r="S38">
        <v>0</v>
      </c>
    </row>
    <row r="39" spans="1:19" hidden="1" x14ac:dyDescent="0.25">
      <c r="A39" t="s">
        <v>196</v>
      </c>
      <c r="B39" s="17">
        <f t="shared" si="0"/>
        <v>0</v>
      </c>
      <c r="C39" s="17">
        <v>117.47958333333334</v>
      </c>
    </row>
    <row r="40" spans="1:19" hidden="1" x14ac:dyDescent="0.25">
      <c r="A40" t="s">
        <v>197</v>
      </c>
      <c r="B40" s="17">
        <f t="shared" si="0"/>
        <v>6.4000000000000057</v>
      </c>
      <c r="C40" s="17">
        <v>123.87958333333334</v>
      </c>
    </row>
    <row r="41" spans="1:19" hidden="1" x14ac:dyDescent="0.25">
      <c r="A41" t="s">
        <v>198</v>
      </c>
      <c r="B41" s="17">
        <f t="shared" si="0"/>
        <v>0</v>
      </c>
      <c r="C41" s="17">
        <v>123.87958333333334</v>
      </c>
    </row>
    <row r="42" spans="1:19" hidden="1" x14ac:dyDescent="0.25">
      <c r="A42" t="s">
        <v>199</v>
      </c>
      <c r="B42" s="17">
        <f t="shared" si="0"/>
        <v>5.0000000000000142</v>
      </c>
      <c r="C42" s="17">
        <v>128.87958333333336</v>
      </c>
    </row>
    <row r="43" spans="1:19" hidden="1" x14ac:dyDescent="0.25">
      <c r="A43" t="s">
        <v>200</v>
      </c>
      <c r="B43" s="17">
        <f t="shared" si="0"/>
        <v>257.75916666666672</v>
      </c>
      <c r="C43" s="17">
        <v>386.63875000000007</v>
      </c>
    </row>
    <row r="44" spans="1:19" hidden="1" x14ac:dyDescent="0.25">
      <c r="A44" t="s">
        <v>201</v>
      </c>
      <c r="B44" s="17">
        <f t="shared" si="0"/>
        <v>0</v>
      </c>
      <c r="C44" s="17">
        <v>386.63875000000007</v>
      </c>
    </row>
    <row r="45" spans="1:19" hidden="1" x14ac:dyDescent="0.25">
      <c r="A45" t="s">
        <v>202</v>
      </c>
      <c r="B45" s="17">
        <f t="shared" si="0"/>
        <v>0</v>
      </c>
      <c r="C45" s="17">
        <v>386.63875000000007</v>
      </c>
    </row>
    <row r="46" spans="1:19" hidden="1" x14ac:dyDescent="0.25">
      <c r="A46" t="s">
        <v>205</v>
      </c>
      <c r="B46" s="17">
        <f t="shared" si="0"/>
        <v>0</v>
      </c>
      <c r="C46" s="17">
        <v>386.63875000000007</v>
      </c>
    </row>
  </sheetData>
  <mergeCells count="16">
    <mergeCell ref="C21:D21"/>
    <mergeCell ref="C23:E24"/>
    <mergeCell ref="B2:D2"/>
    <mergeCell ref="C14:D14"/>
    <mergeCell ref="C15:D15"/>
    <mergeCell ref="C17:D17"/>
    <mergeCell ref="C18:D18"/>
    <mergeCell ref="B23:B24"/>
    <mergeCell ref="C7:D7"/>
    <mergeCell ref="C12:D12"/>
    <mergeCell ref="C19:D19"/>
    <mergeCell ref="C20:D20"/>
    <mergeCell ref="C22:D22"/>
    <mergeCell ref="C16:D16"/>
    <mergeCell ref="C8:D8"/>
    <mergeCell ref="C10:D10"/>
  </mergeCells>
  <dataValidations count="3">
    <dataValidation type="whole" operator="greaterThanOrEqual" allowBlank="1" showInputMessage="1" showErrorMessage="1" sqref="C9" xr:uid="{00000000-0002-0000-0000-000000000000}">
      <formula1>1</formula1>
    </dataValidation>
    <dataValidation type="whole" operator="greaterThanOrEqual" showInputMessage="1" showErrorMessage="1" sqref="C11:C12 G9 G11 I9 I11 E11" xr:uid="{00000000-0002-0000-0000-000001000000}">
      <formula1>0</formula1>
    </dataValidation>
    <dataValidation type="decimal" operator="greaterThanOrEqual" showInputMessage="1" showErrorMessage="1" sqref="E9" xr:uid="{7677679C-FEA5-44DF-A9C9-935B05A59EA8}">
      <formula1>0</formula1>
    </dataValidation>
  </dataValidations>
  <pageMargins left="0.7" right="0.7" top="0.75" bottom="0.75" header="0.3" footer="0.3"/>
  <pageSetup orientation="portrait" r:id="rId1"/>
  <headerFooter>
    <oddFooter>&amp;C&amp;1#&amp;"Calibri"&amp;10&amp;KD89B2BConfidential - Company Proprietary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Intervals">
                <anchor moveWithCells="1" sizeWithCells="1">
                  <from>
                    <xdr:col>3</xdr:col>
                    <xdr:colOff>152400</xdr:colOff>
                    <xdr:row>34</xdr:row>
                    <xdr:rowOff>28575</xdr:rowOff>
                  </from>
                  <to>
                    <xdr:col>3</xdr:col>
                    <xdr:colOff>1247775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pdate">
                <anchor moveWithCells="1" sizeWithCells="1">
                  <from>
                    <xdr:col>5</xdr:col>
                    <xdr:colOff>38100</xdr:colOff>
                    <xdr:row>2</xdr:row>
                    <xdr:rowOff>85725</xdr:rowOff>
                  </from>
                  <to>
                    <xdr:col>6</xdr:col>
                    <xdr:colOff>209550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Reset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Common">
                <anchor moveWithCells="1" sizeWithCells="1">
                  <from>
                    <xdr:col>4</xdr:col>
                    <xdr:colOff>0</xdr:colOff>
                    <xdr:row>3</xdr:row>
                    <xdr:rowOff>190500</xdr:rowOff>
                  </from>
                  <to>
                    <xdr:col>5</xdr:col>
                    <xdr:colOff>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showInputMessage="1" showErrorMessage="1" xr:uid="{00000000-0002-0000-0000-000002000000}">
          <x14:formula1>
            <xm:f>Dropdown!$B$29:$B$31</xm:f>
          </x14:formula1>
          <xm:sqref>C10</xm:sqref>
        </x14:dataValidation>
        <x14:dataValidation type="list" allowBlank="1" showInputMessage="1" showErrorMessage="1" xr:uid="{00000000-0002-0000-0000-000003000000}">
          <x14:formula1>
            <xm:f>Dropdown!$B$33:$B$35</xm:f>
          </x14:formula1>
          <xm:sqref>C13</xm:sqref>
        </x14:dataValidation>
        <x14:dataValidation type="list" allowBlank="1" showInputMessage="1" showErrorMessage="1" xr:uid="{00000000-0002-0000-0000-000004000000}">
          <x14:formula1>
            <xm:f>Dropdown!$C$33:$C$35</xm:f>
          </x14:formula1>
          <xm:sqref>D13</xm:sqref>
        </x14:dataValidation>
        <x14:dataValidation type="list" allowBlank="1" showInputMessage="1" showErrorMessage="1" xr:uid="{00000000-0002-0000-0000-000005000000}">
          <x14:formula1>
            <xm:f>Dropdown!$B$63:$B$69</xm:f>
          </x14:formula1>
          <xm:sqref>C20:D20</xm:sqref>
        </x14:dataValidation>
        <x14:dataValidation type="list" allowBlank="1" showInputMessage="1" showErrorMessage="1" xr:uid="{00000000-0002-0000-0000-000006000000}">
          <x14:formula1>
            <xm:f>Dropdown!$B$73:$B$75</xm:f>
          </x14:formula1>
          <xm:sqref>C22:D22</xm:sqref>
        </x14:dataValidation>
        <x14:dataValidation type="list" allowBlank="1" showInputMessage="1" showErrorMessage="1" xr:uid="{00000000-0002-0000-0000-000008000000}">
          <x14:formula1>
            <xm:f>Dropdown!$B$50:$B$54</xm:f>
          </x14:formula1>
          <xm:sqref>C18:D18</xm:sqref>
        </x14:dataValidation>
        <x14:dataValidation type="list" allowBlank="1" showInputMessage="1" showErrorMessage="1" xr:uid="{00000000-0002-0000-0000-000009000000}">
          <x14:formula1>
            <xm:f>Dropdown!$B$70:$B$72</xm:f>
          </x14:formula1>
          <xm:sqref>C21:D21</xm:sqref>
        </x14:dataValidation>
        <x14:dataValidation type="list" showInputMessage="1" showErrorMessage="1" xr:uid="{00000000-0002-0000-0000-00000A000000}">
          <x14:formula1>
            <xm:f>Dropdown!$B$55:$B$62</xm:f>
          </x14:formula1>
          <xm:sqref>C19:D19</xm:sqref>
        </x14:dataValidation>
        <x14:dataValidation type="list" allowBlank="1" showInputMessage="1" showErrorMessage="1" xr:uid="{00000000-0002-0000-0000-00000B000000}">
          <x14:formula1>
            <xm:f>Dropdown!$B$29:$B$32</xm:f>
          </x14:formula1>
          <xm:sqref>C8:D8</xm:sqref>
        </x14:dataValidation>
        <x14:dataValidation type="list" allowBlank="1" showInputMessage="1" showErrorMessage="1" xr:uid="{00000000-0002-0000-0000-00000C000000}">
          <x14:formula1>
            <xm:f>Dropdown!$B$36:$B$39</xm:f>
          </x14:formula1>
          <xm:sqref>C14:D14</xm:sqref>
        </x14:dataValidation>
        <x14:dataValidation type="list" allowBlank="1" showInputMessage="1" showErrorMessage="1" xr:uid="{00000000-0002-0000-0000-00000D000000}">
          <x14:formula1>
            <xm:f>Dropdown!$B$40:$B$42</xm:f>
          </x14:formula1>
          <xm:sqref>C15:D15</xm:sqref>
        </x14:dataValidation>
        <x14:dataValidation type="list" allowBlank="1" showInputMessage="1" showErrorMessage="1" xr:uid="{00000000-0002-0000-0000-00000E000000}">
          <x14:formula1>
            <xm:f>Dropdown!$B$43:$B$45</xm:f>
          </x14:formula1>
          <xm:sqref>C16:D16</xm:sqref>
        </x14:dataValidation>
        <x14:dataValidation type="list" allowBlank="1" showInputMessage="1" showErrorMessage="1" xr:uid="{00000000-0002-0000-0000-00000F000000}">
          <x14:formula1>
            <xm:f>Dropdown!$B$46:$B$49</xm:f>
          </x14:formula1>
          <xm:sqref>C17:D17</xm:sqref>
        </x14:dataValidation>
        <x14:dataValidation type="list" allowBlank="1" showInputMessage="1" showErrorMessage="1" xr:uid="{369004CD-BEA3-4F1F-AF24-1916686B00C5}">
          <x14:formula1>
            <xm:f>Dropdown!$B$1:$B$1</xm:f>
          </x14:formula1>
          <xm:sqref>C7:D7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3"/>
  <sheetViews>
    <sheetView workbookViewId="0">
      <selection activeCell="B4" sqref="B4"/>
    </sheetView>
  </sheetViews>
  <sheetFormatPr defaultRowHeight="15" x14ac:dyDescent="0.25"/>
  <cols>
    <col min="1" max="1" width="11.5703125" bestFit="1" customWidth="1"/>
  </cols>
  <sheetData>
    <row r="1" spans="1:2" x14ac:dyDescent="0.25">
      <c r="A1" t="s">
        <v>155</v>
      </c>
      <c r="B1">
        <v>554.72916666666663</v>
      </c>
    </row>
    <row r="2" spans="1:2" x14ac:dyDescent="0.25">
      <c r="A2" t="s">
        <v>71</v>
      </c>
    </row>
    <row r="3" spans="1:2" x14ac:dyDescent="0.25">
      <c r="A3" t="s">
        <v>70</v>
      </c>
    </row>
  </sheetData>
  <pageMargins left="0.7" right="0.7" top="0.75" bottom="0.75" header="0.3" footer="0.3"/>
  <pageSetup orientation="portrait" r:id="rId1"/>
  <headerFooter>
    <oddFooter>&amp;C&amp;1#&amp;"Calibri"&amp;10&amp;KD89B2BConfidential - Company Proprietary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L46"/>
  <sheetViews>
    <sheetView workbookViewId="0">
      <selection activeCell="E33" sqref="E33"/>
    </sheetView>
  </sheetViews>
  <sheetFormatPr defaultColWidth="9.140625" defaultRowHeight="15" x14ac:dyDescent="0.25"/>
  <cols>
    <col min="1" max="1" width="38.42578125" style="11" customWidth="1"/>
    <col min="2" max="2" width="34.7109375" style="11" customWidth="1"/>
    <col min="3" max="3" width="24.5703125" style="11" customWidth="1"/>
    <col min="4" max="4" width="20.28515625" style="11" customWidth="1"/>
    <col min="5" max="5" width="22.42578125" style="11" customWidth="1"/>
    <col min="6" max="6" width="18.5703125" style="11" customWidth="1"/>
    <col min="7" max="10" width="9.140625" style="11"/>
    <col min="11" max="11" width="37.28515625" style="11" customWidth="1"/>
    <col min="12" max="16384" width="9.140625" style="11"/>
  </cols>
  <sheetData>
    <row r="1" spans="1:12" x14ac:dyDescent="0.25">
      <c r="A1" s="11" t="s">
        <v>110</v>
      </c>
      <c r="K1" s="13" t="s">
        <v>111</v>
      </c>
    </row>
    <row r="2" spans="1:12" x14ac:dyDescent="0.25">
      <c r="A2" s="11" t="s">
        <v>2</v>
      </c>
      <c r="K2" s="13" t="s">
        <v>112</v>
      </c>
    </row>
    <row r="3" spans="1:12" x14ac:dyDescent="0.25">
      <c r="A3" s="11" t="s">
        <v>5</v>
      </c>
      <c r="C3" s="11" t="s">
        <v>113</v>
      </c>
      <c r="D3" s="11" t="s">
        <v>113</v>
      </c>
      <c r="E3" s="11" t="s">
        <v>113</v>
      </c>
      <c r="F3" s="11" t="s">
        <v>113</v>
      </c>
      <c r="K3" s="13" t="s">
        <v>114</v>
      </c>
    </row>
    <row r="4" spans="1:12" x14ac:dyDescent="0.25">
      <c r="B4" s="11" t="s">
        <v>111</v>
      </c>
      <c r="K4" s="13" t="s">
        <v>115</v>
      </c>
    </row>
    <row r="5" spans="1:12" x14ac:dyDescent="0.25">
      <c r="B5" s="11" t="s">
        <v>114</v>
      </c>
      <c r="C5" s="11" t="s">
        <v>116</v>
      </c>
      <c r="D5" s="11" t="s">
        <v>117</v>
      </c>
      <c r="E5" s="11" t="s">
        <v>118</v>
      </c>
      <c r="K5" s="13" t="s">
        <v>119</v>
      </c>
    </row>
    <row r="6" spans="1:12" x14ac:dyDescent="0.25">
      <c r="B6" s="11" t="s">
        <v>120</v>
      </c>
      <c r="K6" s="13" t="s">
        <v>121</v>
      </c>
    </row>
    <row r="7" spans="1:12" x14ac:dyDescent="0.25">
      <c r="B7" s="14" t="s">
        <v>122</v>
      </c>
      <c r="C7" s="11" t="s">
        <v>116</v>
      </c>
      <c r="D7" s="11" t="s">
        <v>117</v>
      </c>
      <c r="E7" s="11" t="s">
        <v>118</v>
      </c>
      <c r="K7" s="13" t="s">
        <v>123</v>
      </c>
    </row>
    <row r="8" spans="1:12" x14ac:dyDescent="0.25">
      <c r="B8" s="14" t="s">
        <v>124</v>
      </c>
      <c r="C8" s="11" t="s">
        <v>116</v>
      </c>
      <c r="D8" s="11" t="s">
        <v>117</v>
      </c>
      <c r="E8" s="11" t="s">
        <v>118</v>
      </c>
      <c r="K8" s="13" t="s">
        <v>122</v>
      </c>
    </row>
    <row r="9" spans="1:12" x14ac:dyDescent="0.25">
      <c r="B9" s="11" t="s">
        <v>125</v>
      </c>
      <c r="C9" s="11" t="s">
        <v>116</v>
      </c>
      <c r="D9" s="11" t="s">
        <v>117</v>
      </c>
      <c r="E9" s="11" t="s">
        <v>118</v>
      </c>
      <c r="K9" s="13" t="s">
        <v>124</v>
      </c>
      <c r="L9" s="11" t="s">
        <v>126</v>
      </c>
    </row>
    <row r="10" spans="1:12" x14ac:dyDescent="0.25">
      <c r="B10" s="11" t="s">
        <v>127</v>
      </c>
      <c r="C10" s="11" t="s">
        <v>116</v>
      </c>
      <c r="D10" s="11" t="s">
        <v>117</v>
      </c>
      <c r="E10" s="11" t="s">
        <v>118</v>
      </c>
      <c r="K10" s="13" t="s">
        <v>7</v>
      </c>
      <c r="L10" s="11" t="s">
        <v>128</v>
      </c>
    </row>
    <row r="11" spans="1:12" x14ac:dyDescent="0.25">
      <c r="B11" s="11" t="s">
        <v>129</v>
      </c>
      <c r="C11" s="11" t="s">
        <v>116</v>
      </c>
      <c r="D11" s="11" t="s">
        <v>117</v>
      </c>
      <c r="E11" s="11" t="s">
        <v>118</v>
      </c>
      <c r="K11" s="13" t="s">
        <v>130</v>
      </c>
    </row>
    <row r="12" spans="1:12" x14ac:dyDescent="0.25">
      <c r="B12" s="11" t="s">
        <v>131</v>
      </c>
      <c r="C12" s="11" t="s">
        <v>116</v>
      </c>
      <c r="K12" s="13"/>
    </row>
    <row r="13" spans="1:12" x14ac:dyDescent="0.25">
      <c r="B13" s="11" t="s">
        <v>132</v>
      </c>
      <c r="C13" s="11" t="s">
        <v>133</v>
      </c>
      <c r="K13" s="13" t="s">
        <v>122</v>
      </c>
    </row>
    <row r="14" spans="1:12" x14ac:dyDescent="0.25">
      <c r="B14" s="11" t="s">
        <v>134</v>
      </c>
      <c r="C14" s="11" t="s">
        <v>133</v>
      </c>
      <c r="K14" s="13" t="s">
        <v>125</v>
      </c>
    </row>
    <row r="15" spans="1:12" x14ac:dyDescent="0.25">
      <c r="B15" s="11" t="s">
        <v>135</v>
      </c>
      <c r="C15" s="11" t="s">
        <v>133</v>
      </c>
      <c r="D15" s="11" t="s">
        <v>116</v>
      </c>
    </row>
    <row r="16" spans="1:12" x14ac:dyDescent="0.25">
      <c r="B16" s="11" t="s">
        <v>136</v>
      </c>
      <c r="C16" s="11" t="s">
        <v>133</v>
      </c>
      <c r="K16" s="13" t="s">
        <v>137</v>
      </c>
    </row>
    <row r="17" spans="1:11" x14ac:dyDescent="0.25">
      <c r="A17" s="11" t="s">
        <v>138</v>
      </c>
      <c r="K17" s="13" t="s">
        <v>139</v>
      </c>
    </row>
    <row r="18" spans="1:11" x14ac:dyDescent="0.25">
      <c r="B18" s="11" t="s">
        <v>112</v>
      </c>
      <c r="C18" s="11" t="s">
        <v>138</v>
      </c>
      <c r="D18" s="11" t="s">
        <v>116</v>
      </c>
      <c r="K18" s="13" t="s">
        <v>127</v>
      </c>
    </row>
    <row r="19" spans="1:11" x14ac:dyDescent="0.25">
      <c r="B19" s="11" t="s">
        <v>119</v>
      </c>
      <c r="C19" s="11" t="s">
        <v>138</v>
      </c>
      <c r="D19" s="11" t="s">
        <v>116</v>
      </c>
      <c r="K19" s="13" t="s">
        <v>140</v>
      </c>
    </row>
    <row r="20" spans="1:11" x14ac:dyDescent="0.25">
      <c r="A20" s="11" t="s">
        <v>4</v>
      </c>
      <c r="K20" s="13" t="s">
        <v>141</v>
      </c>
    </row>
    <row r="21" spans="1:11" x14ac:dyDescent="0.25">
      <c r="B21" s="11" t="s">
        <v>142</v>
      </c>
      <c r="C21" s="11" t="s">
        <v>4</v>
      </c>
      <c r="D21" s="11" t="s">
        <v>133</v>
      </c>
      <c r="K21" s="13" t="s">
        <v>134</v>
      </c>
    </row>
    <row r="22" spans="1:11" x14ac:dyDescent="0.25">
      <c r="A22" s="11" t="s">
        <v>7</v>
      </c>
      <c r="K22" s="13" t="s">
        <v>140</v>
      </c>
    </row>
    <row r="23" spans="1:11" x14ac:dyDescent="0.25">
      <c r="B23" s="11" t="s">
        <v>121</v>
      </c>
      <c r="C23" s="11" t="s">
        <v>7</v>
      </c>
      <c r="D23" s="11" t="s">
        <v>4</v>
      </c>
      <c r="E23" s="11" t="s">
        <v>143</v>
      </c>
      <c r="K23" s="13" t="s">
        <v>142</v>
      </c>
    </row>
    <row r="24" spans="1:11" x14ac:dyDescent="0.25">
      <c r="B24" s="11" t="s">
        <v>115</v>
      </c>
      <c r="C24" s="11" t="s">
        <v>7</v>
      </c>
      <c r="D24" s="11" t="s">
        <v>4</v>
      </c>
      <c r="E24" s="11" t="s">
        <v>143</v>
      </c>
      <c r="K24" s="13" t="s">
        <v>104</v>
      </c>
    </row>
    <row r="25" spans="1:11" x14ac:dyDescent="0.25">
      <c r="B25" s="11" t="s">
        <v>7</v>
      </c>
      <c r="C25" s="11" t="s">
        <v>116</v>
      </c>
      <c r="D25" s="11" t="s">
        <v>117</v>
      </c>
      <c r="E25" s="11" t="s">
        <v>118</v>
      </c>
    </row>
    <row r="26" spans="1:11" x14ac:dyDescent="0.25">
      <c r="B26" s="11" t="s">
        <v>144</v>
      </c>
      <c r="C26" s="11" t="s">
        <v>133</v>
      </c>
      <c r="D26" s="11" t="s">
        <v>116</v>
      </c>
    </row>
    <row r="27" spans="1:11" x14ac:dyDescent="0.25">
      <c r="B27" s="11" t="s">
        <v>122</v>
      </c>
      <c r="C27" s="11" t="s">
        <v>143</v>
      </c>
      <c r="D27" s="11" t="s">
        <v>4</v>
      </c>
      <c r="K27" s="13" t="s">
        <v>145</v>
      </c>
    </row>
    <row r="28" spans="1:11" x14ac:dyDescent="0.25">
      <c r="A28" s="11" t="s">
        <v>8</v>
      </c>
      <c r="K28" s="13" t="s">
        <v>146</v>
      </c>
    </row>
    <row r="29" spans="1:11" x14ac:dyDescent="0.25">
      <c r="B29" s="11" t="s">
        <v>7</v>
      </c>
      <c r="C29" s="11" t="s">
        <v>8</v>
      </c>
      <c r="K29" s="13" t="s">
        <v>147</v>
      </c>
    </row>
    <row r="30" spans="1:11" x14ac:dyDescent="0.25">
      <c r="A30" s="11" t="s">
        <v>9</v>
      </c>
      <c r="K30" s="13" t="s">
        <v>105</v>
      </c>
    </row>
    <row r="31" spans="1:11" x14ac:dyDescent="0.25">
      <c r="B31" s="11" t="s">
        <v>148</v>
      </c>
      <c r="C31" s="11" t="s">
        <v>9</v>
      </c>
      <c r="D31" s="11" t="s">
        <v>133</v>
      </c>
      <c r="E31" s="11" t="s">
        <v>116</v>
      </c>
      <c r="F31" s="11" t="s">
        <v>8</v>
      </c>
      <c r="K31" s="13" t="s">
        <v>107</v>
      </c>
    </row>
    <row r="32" spans="1:11" x14ac:dyDescent="0.25">
      <c r="A32" s="11" t="s">
        <v>10</v>
      </c>
      <c r="K32" s="13" t="s">
        <v>120</v>
      </c>
    </row>
    <row r="33" spans="1:11" x14ac:dyDescent="0.25">
      <c r="B33" s="11" t="s">
        <v>147</v>
      </c>
      <c r="C33" s="11" t="s">
        <v>10</v>
      </c>
      <c r="D33" s="11" t="s">
        <v>133</v>
      </c>
      <c r="E33" s="11" t="s">
        <v>116</v>
      </c>
      <c r="F33" s="11" t="s">
        <v>8</v>
      </c>
      <c r="K33" s="13" t="s">
        <v>149</v>
      </c>
    </row>
    <row r="34" spans="1:11" x14ac:dyDescent="0.25">
      <c r="A34" s="11" t="s">
        <v>88</v>
      </c>
      <c r="K34" s="13" t="s">
        <v>150</v>
      </c>
    </row>
    <row r="35" spans="1:11" x14ac:dyDescent="0.25">
      <c r="B35" s="11" t="s">
        <v>145</v>
      </c>
      <c r="C35" s="11" t="s">
        <v>88</v>
      </c>
      <c r="D35" s="11" t="s">
        <v>143</v>
      </c>
    </row>
    <row r="36" spans="1:11" x14ac:dyDescent="0.25">
      <c r="B36" s="11" t="s">
        <v>151</v>
      </c>
      <c r="C36" s="11" t="s">
        <v>88</v>
      </c>
      <c r="D36" s="11" t="s">
        <v>143</v>
      </c>
    </row>
    <row r="37" spans="1:11" x14ac:dyDescent="0.25">
      <c r="A37" s="11" t="s">
        <v>11</v>
      </c>
    </row>
    <row r="38" spans="1:11" x14ac:dyDescent="0.25">
      <c r="B38" s="11" t="s">
        <v>146</v>
      </c>
      <c r="C38" s="11" t="s">
        <v>11</v>
      </c>
      <c r="D38" s="11" t="s">
        <v>133</v>
      </c>
    </row>
    <row r="39" spans="1:11" x14ac:dyDescent="0.25">
      <c r="B39" s="11" t="s">
        <v>150</v>
      </c>
      <c r="C39" s="11" t="s">
        <v>11</v>
      </c>
      <c r="D39" s="11" t="s">
        <v>152</v>
      </c>
      <c r="E39" s="11" t="s">
        <v>133</v>
      </c>
    </row>
    <row r="40" spans="1:11" x14ac:dyDescent="0.25">
      <c r="A40" s="11" t="s">
        <v>108</v>
      </c>
    </row>
    <row r="41" spans="1:11" x14ac:dyDescent="0.25">
      <c r="B41" s="11" t="s">
        <v>153</v>
      </c>
    </row>
    <row r="42" spans="1:11" x14ac:dyDescent="0.25">
      <c r="A42" s="11" t="s">
        <v>12</v>
      </c>
    </row>
    <row r="43" spans="1:11" x14ac:dyDescent="0.25">
      <c r="B43" s="11" t="s">
        <v>141</v>
      </c>
      <c r="C43" s="11" t="s">
        <v>12</v>
      </c>
      <c r="D43" s="11" t="s">
        <v>116</v>
      </c>
    </row>
    <row r="44" spans="1:11" x14ac:dyDescent="0.25">
      <c r="B44" s="11" t="s">
        <v>107</v>
      </c>
      <c r="C44" s="11" t="s">
        <v>12</v>
      </c>
    </row>
    <row r="45" spans="1:11" x14ac:dyDescent="0.25">
      <c r="A45" s="11" t="s">
        <v>154</v>
      </c>
    </row>
    <row r="46" spans="1:11" x14ac:dyDescent="0.25">
      <c r="B46" s="11" t="s">
        <v>149</v>
      </c>
    </row>
  </sheetData>
  <pageMargins left="0.7" right="0.7" top="0.75" bottom="0.75" header="0.3" footer="0.3"/>
  <pageSetup orientation="portrait" r:id="rId1"/>
  <headerFooter>
    <oddFooter>&amp;C&amp;1#&amp;"Calibri"&amp;10&amp;KD89B2BConfidential - Company Proprietary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C75"/>
  <sheetViews>
    <sheetView workbookViewId="0">
      <selection activeCell="H17" sqref="H17"/>
    </sheetView>
  </sheetViews>
  <sheetFormatPr defaultRowHeight="15" x14ac:dyDescent="0.25"/>
  <cols>
    <col min="1" max="1" width="19" bestFit="1" customWidth="1"/>
    <col min="2" max="2" width="52.7109375" bestFit="1" customWidth="1"/>
  </cols>
  <sheetData>
    <row r="1" spans="1:3" x14ac:dyDescent="0.25">
      <c r="A1" t="s">
        <v>1</v>
      </c>
      <c r="B1" t="s">
        <v>34</v>
      </c>
      <c r="C1" t="s">
        <v>13</v>
      </c>
    </row>
    <row r="2" spans="1:3" x14ac:dyDescent="0.25">
      <c r="B2" t="s">
        <v>19</v>
      </c>
      <c r="C2" t="s">
        <v>14</v>
      </c>
    </row>
    <row r="3" spans="1:3" x14ac:dyDescent="0.25">
      <c r="B3" t="s">
        <v>20</v>
      </c>
      <c r="C3" t="s">
        <v>15</v>
      </c>
    </row>
    <row r="4" spans="1:3" x14ac:dyDescent="0.25">
      <c r="B4" t="s">
        <v>21</v>
      </c>
      <c r="C4" t="s">
        <v>16</v>
      </c>
    </row>
    <row r="5" spans="1:3" x14ac:dyDescent="0.25">
      <c r="B5" t="s">
        <v>22</v>
      </c>
      <c r="C5" t="s">
        <v>17</v>
      </c>
    </row>
    <row r="6" spans="1:3" x14ac:dyDescent="0.25">
      <c r="B6" t="s">
        <v>23</v>
      </c>
      <c r="C6" t="s">
        <v>18</v>
      </c>
    </row>
    <row r="7" spans="1:3" x14ac:dyDescent="0.25">
      <c r="B7" t="s">
        <v>25</v>
      </c>
      <c r="C7" t="s">
        <v>24</v>
      </c>
    </row>
    <row r="8" spans="1:3" x14ac:dyDescent="0.25">
      <c r="B8" t="s">
        <v>27</v>
      </c>
      <c r="C8" t="s">
        <v>26</v>
      </c>
    </row>
    <row r="9" spans="1:3" x14ac:dyDescent="0.25">
      <c r="B9" t="s">
        <v>29</v>
      </c>
      <c r="C9" t="s">
        <v>28</v>
      </c>
    </row>
    <row r="10" spans="1:3" x14ac:dyDescent="0.25">
      <c r="B10" t="s">
        <v>31</v>
      </c>
      <c r="C10" t="s">
        <v>30</v>
      </c>
    </row>
    <row r="11" spans="1:3" x14ac:dyDescent="0.25">
      <c r="B11" t="s">
        <v>33</v>
      </c>
      <c r="C11" t="s">
        <v>32</v>
      </c>
    </row>
    <row r="12" spans="1:3" x14ac:dyDescent="0.25">
      <c r="B12" t="s">
        <v>36</v>
      </c>
      <c r="C12" t="s">
        <v>35</v>
      </c>
    </row>
    <row r="13" spans="1:3" x14ac:dyDescent="0.25">
      <c r="B13" t="s">
        <v>38</v>
      </c>
      <c r="C13" t="s">
        <v>37</v>
      </c>
    </row>
    <row r="14" spans="1:3" x14ac:dyDescent="0.25">
      <c r="B14" t="s">
        <v>40</v>
      </c>
      <c r="C14" t="s">
        <v>39</v>
      </c>
    </row>
    <row r="15" spans="1:3" x14ac:dyDescent="0.25">
      <c r="B15" t="s">
        <v>42</v>
      </c>
      <c r="C15" t="s">
        <v>41</v>
      </c>
    </row>
    <row r="16" spans="1:3" x14ac:dyDescent="0.25">
      <c r="B16" t="s">
        <v>44</v>
      </c>
      <c r="C16" t="s">
        <v>43</v>
      </c>
    </row>
    <row r="17" spans="1:3" x14ac:dyDescent="0.25">
      <c r="B17" t="s">
        <v>46</v>
      </c>
      <c r="C17" t="s">
        <v>45</v>
      </c>
    </row>
    <row r="18" spans="1:3" x14ac:dyDescent="0.25">
      <c r="B18" t="s">
        <v>48</v>
      </c>
      <c r="C18" t="s">
        <v>47</v>
      </c>
    </row>
    <row r="19" spans="1:3" x14ac:dyDescent="0.25">
      <c r="B19" t="s">
        <v>50</v>
      </c>
      <c r="C19" t="s">
        <v>49</v>
      </c>
    </row>
    <row r="20" spans="1:3" x14ac:dyDescent="0.25">
      <c r="B20" t="s">
        <v>52</v>
      </c>
      <c r="C20" t="s">
        <v>51</v>
      </c>
    </row>
    <row r="21" spans="1:3" x14ac:dyDescent="0.25">
      <c r="B21" t="s">
        <v>54</v>
      </c>
      <c r="C21" t="s">
        <v>53</v>
      </c>
    </row>
    <row r="22" spans="1:3" x14ac:dyDescent="0.25">
      <c r="B22" t="s">
        <v>55</v>
      </c>
      <c r="C22" t="s">
        <v>56</v>
      </c>
    </row>
    <row r="23" spans="1:3" x14ac:dyDescent="0.25">
      <c r="B23" t="s">
        <v>58</v>
      </c>
      <c r="C23" t="s">
        <v>57</v>
      </c>
    </row>
    <row r="24" spans="1:3" x14ac:dyDescent="0.25">
      <c r="B24" t="s">
        <v>60</v>
      </c>
      <c r="C24" t="s">
        <v>59</v>
      </c>
    </row>
    <row r="25" spans="1:3" x14ac:dyDescent="0.25">
      <c r="B25" t="s">
        <v>62</v>
      </c>
      <c r="C25" t="s">
        <v>61</v>
      </c>
    </row>
    <row r="26" spans="1:3" x14ac:dyDescent="0.25">
      <c r="B26" t="s">
        <v>64</v>
      </c>
      <c r="C26" t="s">
        <v>63</v>
      </c>
    </row>
    <row r="27" spans="1:3" x14ac:dyDescent="0.25">
      <c r="B27" t="s">
        <v>66</v>
      </c>
      <c r="C27" t="s">
        <v>65</v>
      </c>
    </row>
    <row r="28" spans="1:3" x14ac:dyDescent="0.25">
      <c r="B28" t="s">
        <v>68</v>
      </c>
      <c r="C28" t="s">
        <v>67</v>
      </c>
    </row>
    <row r="29" spans="1:3" x14ac:dyDescent="0.25">
      <c r="A29" t="s">
        <v>2</v>
      </c>
      <c r="B29" t="s">
        <v>69</v>
      </c>
    </row>
    <row r="30" spans="1:3" x14ac:dyDescent="0.25">
      <c r="B30" t="s">
        <v>70</v>
      </c>
    </row>
    <row r="31" spans="1:3" x14ac:dyDescent="0.25">
      <c r="B31" t="s">
        <v>71</v>
      </c>
    </row>
    <row r="32" spans="1:3" s="16" customFormat="1" x14ac:dyDescent="0.25">
      <c r="B32" s="16" t="s">
        <v>184</v>
      </c>
    </row>
    <row r="33" spans="1:3" x14ac:dyDescent="0.25">
      <c r="A33" t="s">
        <v>72</v>
      </c>
      <c r="B33" t="s">
        <v>73</v>
      </c>
      <c r="C33" t="s">
        <v>75</v>
      </c>
    </row>
    <row r="34" spans="1:3" x14ac:dyDescent="0.25">
      <c r="B34" t="s">
        <v>74</v>
      </c>
      <c r="C34" t="s">
        <v>76</v>
      </c>
    </row>
    <row r="35" spans="1:3" s="16" customFormat="1" x14ac:dyDescent="0.25">
      <c r="B35" s="16" t="s">
        <v>184</v>
      </c>
      <c r="C35" s="16" t="s">
        <v>184</v>
      </c>
    </row>
    <row r="36" spans="1:3" x14ac:dyDescent="0.25">
      <c r="A36" t="s">
        <v>7</v>
      </c>
      <c r="B36" t="s">
        <v>77</v>
      </c>
    </row>
    <row r="37" spans="1:3" x14ac:dyDescent="0.25">
      <c r="B37" t="s">
        <v>78</v>
      </c>
    </row>
    <row r="38" spans="1:3" x14ac:dyDescent="0.25">
      <c r="B38" t="s">
        <v>79</v>
      </c>
    </row>
    <row r="39" spans="1:3" s="16" customFormat="1" x14ac:dyDescent="0.25">
      <c r="B39" s="16" t="s">
        <v>184</v>
      </c>
    </row>
    <row r="40" spans="1:3" x14ac:dyDescent="0.25">
      <c r="A40" t="s">
        <v>8</v>
      </c>
      <c r="B40" t="s">
        <v>77</v>
      </c>
    </row>
    <row r="41" spans="1:3" x14ac:dyDescent="0.25">
      <c r="B41" t="s">
        <v>78</v>
      </c>
    </row>
    <row r="42" spans="1:3" s="16" customFormat="1" x14ac:dyDescent="0.25">
      <c r="B42" s="16" t="s">
        <v>184</v>
      </c>
    </row>
    <row r="43" spans="1:3" x14ac:dyDescent="0.25">
      <c r="A43" t="s">
        <v>9</v>
      </c>
      <c r="B43" t="s">
        <v>80</v>
      </c>
    </row>
    <row r="44" spans="1:3" x14ac:dyDescent="0.25">
      <c r="B44" t="s">
        <v>81</v>
      </c>
    </row>
    <row r="45" spans="1:3" s="16" customFormat="1" x14ac:dyDescent="0.25">
      <c r="B45" s="16" t="s">
        <v>184</v>
      </c>
    </row>
    <row r="46" spans="1:3" x14ac:dyDescent="0.25">
      <c r="A46" t="s">
        <v>82</v>
      </c>
      <c r="B46" t="s">
        <v>89</v>
      </c>
    </row>
    <row r="47" spans="1:3" x14ac:dyDescent="0.25">
      <c r="B47" t="s">
        <v>80</v>
      </c>
    </row>
    <row r="48" spans="1:3" x14ac:dyDescent="0.25">
      <c r="B48" t="s">
        <v>81</v>
      </c>
    </row>
    <row r="49" spans="1:2" s="16" customFormat="1" x14ac:dyDescent="0.25">
      <c r="B49" s="16" t="s">
        <v>184</v>
      </c>
    </row>
    <row r="50" spans="1:2" x14ac:dyDescent="0.25">
      <c r="A50" t="s">
        <v>159</v>
      </c>
      <c r="B50" t="s">
        <v>77</v>
      </c>
    </row>
    <row r="51" spans="1:2" x14ac:dyDescent="0.25">
      <c r="B51" t="s">
        <v>172</v>
      </c>
    </row>
    <row r="52" spans="1:2" s="15" customFormat="1" x14ac:dyDescent="0.25">
      <c r="B52" s="15" t="s">
        <v>173</v>
      </c>
    </row>
    <row r="53" spans="1:2" s="15" customFormat="1" x14ac:dyDescent="0.25">
      <c r="B53" s="15" t="s">
        <v>174</v>
      </c>
    </row>
    <row r="54" spans="1:2" s="16" customFormat="1" x14ac:dyDescent="0.25">
      <c r="B54" s="16" t="s">
        <v>184</v>
      </c>
    </row>
    <row r="55" spans="1:2" x14ac:dyDescent="0.25">
      <c r="A55" t="s">
        <v>88</v>
      </c>
      <c r="B55" t="s">
        <v>89</v>
      </c>
    </row>
    <row r="56" spans="1:2" x14ac:dyDescent="0.25">
      <c r="B56" t="s">
        <v>84</v>
      </c>
    </row>
    <row r="57" spans="1:2" x14ac:dyDescent="0.25">
      <c r="B57" t="s">
        <v>85</v>
      </c>
    </row>
    <row r="58" spans="1:2" x14ac:dyDescent="0.25">
      <c r="B58" t="s">
        <v>86</v>
      </c>
    </row>
    <row r="59" spans="1:2" x14ac:dyDescent="0.25">
      <c r="B59" t="s">
        <v>87</v>
      </c>
    </row>
    <row r="60" spans="1:2" s="12" customFormat="1" x14ac:dyDescent="0.25">
      <c r="B60" t="s">
        <v>103</v>
      </c>
    </row>
    <row r="61" spans="1:2" x14ac:dyDescent="0.25">
      <c r="B61" t="s">
        <v>157</v>
      </c>
    </row>
    <row r="62" spans="1:2" s="16" customFormat="1" x14ac:dyDescent="0.25">
      <c r="B62" s="16" t="s">
        <v>184</v>
      </c>
    </row>
    <row r="63" spans="1:2" x14ac:dyDescent="0.25">
      <c r="A63" t="s">
        <v>11</v>
      </c>
      <c r="B63" t="s">
        <v>89</v>
      </c>
    </row>
    <row r="64" spans="1:2" x14ac:dyDescent="0.25">
      <c r="B64" t="s">
        <v>90</v>
      </c>
    </row>
    <row r="65" spans="1:2" x14ac:dyDescent="0.25">
      <c r="B65" t="s">
        <v>91</v>
      </c>
    </row>
    <row r="66" spans="1:2" x14ac:dyDescent="0.25">
      <c r="B66" t="s">
        <v>92</v>
      </c>
    </row>
    <row r="67" spans="1:2" s="10" customFormat="1" x14ac:dyDescent="0.25">
      <c r="B67" s="10" t="s">
        <v>109</v>
      </c>
    </row>
    <row r="68" spans="1:2" x14ac:dyDescent="0.25">
      <c r="B68" t="s">
        <v>93</v>
      </c>
    </row>
    <row r="69" spans="1:2" s="16" customFormat="1" x14ac:dyDescent="0.25">
      <c r="B69" s="16" t="s">
        <v>184</v>
      </c>
    </row>
    <row r="70" spans="1:2" x14ac:dyDescent="0.25">
      <c r="A70" t="s">
        <v>108</v>
      </c>
      <c r="B70" t="s">
        <v>77</v>
      </c>
    </row>
    <row r="71" spans="1:2" x14ac:dyDescent="0.25">
      <c r="B71" t="s">
        <v>78</v>
      </c>
    </row>
    <row r="72" spans="1:2" s="16" customFormat="1" x14ac:dyDescent="0.25">
      <c r="B72" s="16" t="s">
        <v>184</v>
      </c>
    </row>
    <row r="73" spans="1:2" x14ac:dyDescent="0.25">
      <c r="A73" t="s">
        <v>12</v>
      </c>
      <c r="B73" t="s">
        <v>77</v>
      </c>
    </row>
    <row r="74" spans="1:2" x14ac:dyDescent="0.25">
      <c r="B74" t="s">
        <v>78</v>
      </c>
    </row>
    <row r="75" spans="1:2" x14ac:dyDescent="0.25">
      <c r="B75" s="16" t="s">
        <v>184</v>
      </c>
    </row>
  </sheetData>
  <pageMargins left="0.7" right="0.7" top="0.75" bottom="0.75" header="0.3" footer="0.3"/>
  <pageSetup orientation="portrait" r:id="rId1"/>
  <headerFooter>
    <oddFooter>&amp;C&amp;1#&amp;"Calibri"&amp;10&amp;KD89B2BConfidential - Company Proprietary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Input</vt:lpstr>
      <vt:lpstr>Sheet1</vt:lpstr>
      <vt:lpstr>Sheet2</vt:lpstr>
      <vt:lpstr>Dropdown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CPF-Andrew</dc:creator>
  <cp:lastModifiedBy>CPF-Andrew</cp:lastModifiedBy>
  <dcterms:created xsi:type="dcterms:W3CDTF">2021-04-13T21:18:02Z</dcterms:created>
  <dcterms:modified xsi:type="dcterms:W3CDTF">2022-08-03T04:52:04Z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8041ff-f5de-4583-8841-e2a1851ee5d2_Enabled">
    <vt:lpwstr>true</vt:lpwstr>
  </property>
  <property fmtid="{D5CDD505-2E9C-101B-9397-08002B2CF9AE}" pid="3" name="MSIP_Label_f48041ff-f5de-4583-8841-e2a1851ee5d2_SetDate">
    <vt:lpwstr>2022-06-07T22:24:39Z</vt:lpwstr>
  </property>
  <property fmtid="{D5CDD505-2E9C-101B-9397-08002B2CF9AE}" pid="4" name="MSIP_Label_f48041ff-f5de-4583-8841-e2a1851ee5d2_Method">
    <vt:lpwstr>Privileged</vt:lpwstr>
  </property>
  <property fmtid="{D5CDD505-2E9C-101B-9397-08002B2CF9AE}" pid="5" name="MSIP_Label_f48041ff-f5de-4583-8841-e2a1851ee5d2_Name">
    <vt:lpwstr>Confidential</vt:lpwstr>
  </property>
  <property fmtid="{D5CDD505-2E9C-101B-9397-08002B2CF9AE}" pid="6" name="MSIP_Label_f48041ff-f5de-4583-8841-e2a1851ee5d2_SiteId">
    <vt:lpwstr>771c9c47-7f24-44dc-958e-34f8713a8394</vt:lpwstr>
  </property>
  <property fmtid="{D5CDD505-2E9C-101B-9397-08002B2CF9AE}" pid="7" name="MSIP_Label_f48041ff-f5de-4583-8841-e2a1851ee5d2_ActionId">
    <vt:lpwstr>984246af-a76d-4755-a1ae-482034fe0ea4</vt:lpwstr>
  </property>
  <property fmtid="{D5CDD505-2E9C-101B-9397-08002B2CF9AE}" pid="8" name="MSIP_Label_f48041ff-f5de-4583-8841-e2a1851ee5d2_ContentBits">
    <vt:lpwstr>2</vt:lpwstr>
  </property>
</Properties>
</file>